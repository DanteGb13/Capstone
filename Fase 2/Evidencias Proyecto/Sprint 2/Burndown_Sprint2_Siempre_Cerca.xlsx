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2e04ba3db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jemplo1" sheetId="1" r:id="R26c2242a3554493f"/>
  </x:sheets>
</x:workbook>
</file>

<file path=xl/sharedStrings.xml><?xml version="1.0" encoding="utf-8"?>
<x:sst xmlns:x="http://schemas.openxmlformats.org/spreadsheetml/2006/main">
  <x:si>
    <x:t xml:space="preserve">Tareas </x:t>
  </x:si>
  <x:si>
    <x:t xml:space="preserve">horas estimadas</x:t>
  </x:si>
  <x:si>
    <x:t xml:space="preserve">DIA</x:t>
  </x:si>
  <x:si>
    <x:t xml:space="preserve">Total</x:t>
  </x:si>
  <x:si>
    <x:t xml:space="preserve">Horas Reales de producto por realizar</x:t>
  </x:si>
  <x:si>
    <x:t xml:space="preserve">Horas Estimadas de producto por realizar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</x:si>
</x:sst>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6"/>
      <x:color theme="1"/>
      <x:name val="Calibri"/>
    </x:font>
    <x:font>
      <x:sz val="8"/>
      <x:name val="Calibri"/>
    </x:font>
    <x:font>
      <x:sz val="11"/>
      <x:name val="Calibri"/>
    </x:font>
    <x:font>
      <x:sz val="11"/>
      <x:color theme="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 applyFill="1" applyBorder="1"/>
    <x:xf numFmtId="0" fontId="0" fillId="0" borderId="0" xfId="0" applyFill="1" applyBorder="1" applyAlignment="1">
      <x:alignment horizontal="center" wrapText="1"/>
    </x:xf>
    <x:xf numFmtId="0" fontId="0" fillId="0" borderId="0" xfId="0"/>
    <x:xf numFmtId="0" fontId="0" fillId="2" borderId="3" xfId="0" applyFill="1" applyBorder="1"/>
    <x:xf numFmtId="0" fontId="0" fillId="0" borderId="3" xfId="0" applyBorder="1"/>
    <x:xf numFmtId="0" fontId="0" fillId="0" borderId="5" xfId="0" applyBorder="1"/>
    <x:xf numFmtId="0" fontId="0" fillId="0" borderId="2" xfId="0" applyBorder="1"/>
    <x:xf numFmtId="0" fontId="0" fillId="0" borderId="0" xfId="0" applyAlignment="1">
      <x:alignment wrapText="1"/>
    </x:xf>
    <x:xf numFmtId="0" fontId="0" fillId="0" borderId="0" xfId="0" applyFill="1" applyBorder="1"/>
    <x:xf numFmtId="0" fontId="0" fillId="3" borderId="4" xfId="0" applyFill="1" applyBorder="1" applyAlignment="1">
      <x:alignment horizontal="center" wrapText="1"/>
    </x:xf>
    <x:xf numFmtId="0" fontId="3" fillId="0" borderId="0" xfId="0" applyFont="1"/>
    <x:xf numFmtId="0" fontId="0" fillId="3" borderId="1" xfId="0" applyFill="1" applyBorder="1"/>
    <x:xf numFmtId="0" fontId="0" fillId="0" borderId="0" xfId="0" applyFont="1"/>
    <x:xf numFmtId="0" fontId="0" fillId="0" borderId="0" xfId="0" applyFont="1" applyFill="1" applyBorder="1" applyAlignment="1">
      <x:alignment horizontal="center" wrapText="1"/>
    </x:xf>
    <x:xf numFmtId="0" fontId="0" fillId="0" borderId="0" xfId="0" applyFont="1" applyFill="1" applyBorder="1"/>
    <x:xf numFmtId="0" fontId="3" fillId="0" borderId="0" xfId="0" applyFont="1" applyFill="1" applyBorder="1" applyAlignment="1">
      <x:alignment horizontal="center" wrapText="1"/>
    </x:xf>
    <x:xf numFmtId="0" fontId="3" fillId="0" borderId="0" xfId="0" applyFont="1" applyFill="1" applyBorder="1"/>
    <x:xf numFmtId="0" fontId="4" fillId="0" borderId="0" xfId="0" applyFont="1"/>
    <x:xf numFmtId="0" fontId="0" fillId="0" borderId="0" xfId="0" applyFill="1" applyBorder="1" applyAlignment="1">
      <x:alignment horizontal="center" wrapText="1"/>
    </x:xf>
    <x:xf numFmtId="0" fontId="0" fillId="2" borderId="1" xfId="0" applyFill="1" applyBorder="1" applyAlignment="1">
      <x:alignment horizontal="center"/>
    </x:xf>
    <x:xf numFmtId="0" fontId="0" fillId="2" borderId="3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1" fillId="0" borderId="0" xfId="0" applyFont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horizontal="center" wrapText="1"/>
    </x:xf>
    <x:xf numFmtId="0" fontId="0" fillId="2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horizontal="center" wrapText="1"/>
    </x:xf>
    <x:xf numFmtId="0" fontId="3" fillId="0" borderId="6" xfId="0" applyNumberFormat="1" applyFont="1" applyFill="1" applyBorder="1"/>
    <x:xf numFmtId="0" fontId="0" fillId="3" borderId="11" xfId="0" applyNumberFormat="1" applyFont="1" applyFill="1" applyBorder="1"/>
    <x:xf numFmtId="0" fontId="3" fillId="0" borderId="6" xfId="0" applyNumberFormat="1" applyFont="1" applyFill="1" applyBorder="1" applyAlignment="1">
      <x:alignment horizontal="center" wrapText="1"/>
    </x:xf>
    <x:xf numFmtId="0" fontId="4" fillId="0" borderId="6" xfId="0" applyNumberFormat="1" applyFont="1" applyFill="1" applyBorder="1"/>
    <x:xf numFmtId="0" fontId="0" fillId="2" borderId="11" xfId="0" applyNumberFormat="1" applyFont="1" applyFill="1" applyBorder="1" applyAlignment="1">
      <x:alignment horizontal="center"/>
    </x:xf>
    <x:xf numFmtId="0" fontId="0" fillId="2" borderId="7" xfId="0" applyNumberFormat="1" applyFont="1" applyFill="1" applyBorder="1" applyAlignment="1">
      <x:alignment horizontal="center"/>
    </x:xf>
    <x:xf numFmtId="0" fontId="0" fillId="2" borderId="8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3" borderId="11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5e0e264304f42" /><Relationship Type="http://schemas.openxmlformats.org/officeDocument/2006/relationships/theme" Target="/xl/theme/theme1.xml" Id="R3ee05b6eeff94a51" /><Relationship Type="http://schemas.openxmlformats.org/officeDocument/2006/relationships/sharedStrings" Target="/xl/sharedStrings.xml" Id="R953dd4441bc74b41" /><Relationship Type="http://schemas.openxmlformats.org/officeDocument/2006/relationships/worksheet" Target="/xl/worksheets/sheet1.xml" Id="R26c2242a355449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eba42d7fb24b13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0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lt"/>
                <a:cs typeface="+mj-lt"/>
              </a:rPr>
              <a:t>BurnDown Trabajo Pendiente</a:t>
            </a:r>
          </a:p>
        </c:rich>
      </c:tx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2000" b="0" i="0" u="none" cap="none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lt"/>
              <a:cs typeface="+mj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Ejemplo1!$A$27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Ejemplo1!$C$26:$H$26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Ejemplo1!$A$29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xmlns:a="http://schemas.openxmlformats.org/drawingml/2006/main" w="381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Ejemplo1!$C$28:$H$28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DIA</a:t>
                </a:r>
              </a:p>
            </c:rich>
          </c:tx>
          <c:txPr>
            <a:bodyPr xmlns:a="http://schemas.openxmlformats.org/drawingml/2006/main" rot="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cap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41559784"/>
        <c:crosses val="autoZero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900" b="0" i="0" u="none" cap="all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txPr>
            <a:bodyPr xmlns:a="http://schemas.openxmlformats.org/drawingml/2006/main" rot="-5400000" vert="horz" anchor="ctr" anchorCtr="1"/>
            <a:lstStyle xmlns:a="http://schemas.openxmlformats.org/drawingml/2006/main"/>
            <a:p xmlns:a="http://schemas.openxmlformats.org/drawingml/2006/main">
              <a:pPr>
                <a:defRPr sz="900" b="0" i="0" u="none" cap="all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41559392"/>
        <c:crosses val="autoZero"/>
        <c:crossBetween val="between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161925</xdr:colOff>
      <xdr:row>1</xdr:row>
      <xdr:rowOff>147637</xdr:rowOff>
    </xdr:from>
    <xdr:to>
      <xdr:col>14</xdr:col>
      <xdr:colOff>114300</xdr:colOff>
      <xdr:row>32</xdr:row>
      <xdr:rowOff>1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eba42d7fb24b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e9ff890e2b4609" /></Relationships>
</file>

<file path=xl/worksheets/sheet1.xml><?xml version="1.0" encoding="utf-8"?>
<x:worksheet xmlns:x="http://schemas.openxmlformats.org/spreadsheetml/2006/main">
  <x:sheetFormatPr baseColWidth="10" defaultRowHeight="14.399999618530273"/>
  <x:cols>
    <x:col min="1" max="1" width="44" hidden="0" customWidth="1"/>
    <x:col min="2" max="2" width="17" hidden="0" customWidth="1"/>
    <x:col min="3" max="8" width="4.5546875" customWidth="1"/>
  </x:cols>
  <x:sheetData>
    <x:row r="1" ht="21">
      <x:c r="A1" s="23" t="str">
        <x:v>Control del Sprint 2 de 5 días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18">
        <x:v>0</x:v>
      </x:c>
      <x:c r="D2" s="18">
        <x:v>1</x:v>
      </x:c>
      <x:c r="E2" s="18">
        <x:v>2</x:v>
      </x:c>
      <x:c r="F2" s="18">
        <x:v>3</x:v>
      </x:c>
      <x:c r="G2" s="18">
        <x:v>4</x:v>
      </x:c>
      <x:c r="H2" s="18">
        <x:v>5</x:v>
      </x:c>
      <x:c r="I2" s="3"/>
      <x:c r="J2" s="3"/>
      <x:c r="K2" s="3"/>
      <x:c r="L2" s="3"/>
      <x:c r="M2" s="3"/>
      <x:c r="N2" s="3"/>
    </x:row>
    <x:row r="3">
      <x:c r="A3" s="20" t="s">
        <x:v>0</x:v>
      </x:c>
      <x:c r="B3" s="20" t="s">
        <x:v>1</x:v>
      </x:c>
      <x:c r="C3" s="20" t="s">
        <x:v>2</x:v>
      </x:c>
      <x:c r="D3" s="20"/>
      <x:c r="E3" s="20"/>
      <x:c r="F3" s="20"/>
      <x:c r="G3" s="20"/>
      <x:c r="H3" s="20"/>
      <x:c r="I3" s="21" t="s">
        <x:v>3</x:v>
      </x:c>
      <x:c r="J3" s="3"/>
      <x:c r="K3" s="3"/>
      <x:c r="L3" s="3"/>
      <x:c r="M3" s="3"/>
      <x:c r="N3" s="3"/>
    </x:row>
    <x:row r="4">
      <x:c r="A4" s="20"/>
      <x:c r="B4" s="20"/>
      <x:c r="C4" s="4">
        <x:v>1</x:v>
      </x:c>
      <x:c r="D4" s="4">
        <x:v>2</x:v>
      </x:c>
      <x:c r="E4" s="4">
        <x:v>3</x:v>
      </x:c>
      <x:c r="F4" s="4">
        <x:v>4</x:v>
      </x:c>
      <x:c r="G4" s="4">
        <x:v>5</x:v>
      </x:c>
      <x:c r="H4" s="4"/>
      <x:c r="I4" s="22"/>
      <x:c r="J4" s="3"/>
      <x:c r="K4" s="3"/>
      <x:c r="L4" s="3"/>
      <x:c r="M4" s="3"/>
      <x:c r="N4" s="3"/>
    </x:row>
    <x:row r="5" ht="30" customHeight="1">
      <x:c r="A5" s="42" t="str">
        <x:v>HU-10 - Diseñar flujo de vinculación entre usuarios</x:v>
      </x:c>
      <x:c r="B5" s="43" t="n">
        <x:v>2</x:v>
      </x:c>
      <x:c r="C5" s="54" t="n">
        <x:v>2</x:v>
      </x:c>
      <x:c r="D5" s="54" t="n">
        <x:v>0</x:v>
      </x:c>
      <x:c r="E5" s="54" t="n">
        <x:v>0</x:v>
      </x:c>
      <x:c r="F5" s="54" t="n">
        <x:v>0</x:v>
      </x:c>
      <x:c r="G5" s="54" t="n">
        <x:v>0</x:v>
      </x:c>
      <x:c r="H5" s="54"/>
      <x:c r="I5" s="55" t="n">
        <x:f t="shared" ref="I5:I22" si="0">SUM(C5:G5)</x:f>
        <x:v>2</x:v>
      </x:c>
      <x:c r="J5" s="3"/>
      <x:c r="K5" s="3"/>
      <x:c r="L5" s="3"/>
      <x:c r="M5" s="3"/>
      <x:c r="N5" s="3"/>
    </x:row>
    <x:row r="6" ht="30" customHeight="1">
      <x:c r="A6" s="42" t="str">
        <x:v>HU-10 - Implementar generación o lectura de código/QR</x:v>
      </x:c>
      <x:c r="B6" s="43" t="n">
        <x:v>3</x:v>
      </x:c>
      <x:c r="C6" s="54" t="n">
        <x:v>3</x:v>
      </x:c>
      <x:c r="D6" s="54" t="n">
        <x:v>0</x:v>
      </x:c>
      <x:c r="E6" s="54" t="n">
        <x:v>0</x:v>
      </x:c>
      <x:c r="F6" s="54" t="n">
        <x:v>0</x:v>
      </x:c>
      <x:c r="G6" s="54" t="n">
        <x:v>0</x:v>
      </x:c>
      <x:c r="H6" s="54"/>
      <x:c r="I6" s="56" t="n">
        <x:f t="shared" si="0">SUM(C6:G6)</x:f>
        <x:v>3</x:v>
      </x:c>
      <x:c r="J6" s="3"/>
      <x:c r="K6" s="3"/>
      <x:c r="L6" s="3"/>
      <x:c r="M6" s="3"/>
      <x:c r="N6" s="3"/>
    </x:row>
    <x:row r="7" ht="30" customHeight="1">
      <x:c r="A7" s="42" t="str">
        <x:v>HU-10 - Validar datos utilizados en la vinculación</x:v>
      </x:c>
      <x:c r="B7" s="43" t="n">
        <x:v>2</x:v>
      </x:c>
      <x:c r="C7" s="54" t="n">
        <x:v>2</x:v>
      </x:c>
      <x:c r="D7" s="54" t="n">
        <x:v>0</x:v>
      </x:c>
      <x:c r="E7" s="54" t="n">
        <x:v>0</x:v>
      </x:c>
      <x:c r="F7" s="54" t="n">
        <x:v>0</x:v>
      </x:c>
      <x:c r="G7" s="54" t="n">
        <x:v>0</x:v>
      </x:c>
      <x:c r="H7" s="54"/>
      <x:c r="I7" s="56" t="n">
        <x:f t="shared" si="0">SUM(C7:G7)</x:f>
        <x:v>2</x:v>
      </x:c>
      <x:c r="J7" s="3"/>
      <x:c r="K7" s="3"/>
      <x:c r="L7" s="3"/>
      <x:c r="M7" s="3"/>
      <x:c r="N7" s="3"/>
    </x:row>
    <x:row r="8" ht="30" customHeight="1">
      <x:c r="A8" s="42" t="str">
        <x:v>HU-10 - Registrar vinculación entre cuidador y adulto mayor</x:v>
      </x:c>
      <x:c r="B8" s="43" t="n">
        <x:v>3</x:v>
      </x:c>
      <x:c r="C8" s="54" t="n">
        <x:v>2</x:v>
      </x:c>
      <x:c r="D8" s="54" t="n">
        <x:v>1</x:v>
      </x:c>
      <x:c r="E8" s="54" t="n">
        <x:v>0</x:v>
      </x:c>
      <x:c r="F8" s="54" t="n">
        <x:v>0</x:v>
      </x:c>
      <x:c r="G8" s="54" t="n">
        <x:v>0</x:v>
      </x:c>
      <x:c r="H8" s="54"/>
      <x:c r="I8" s="56" t="n">
        <x:f t="shared" si="0">SUM(C8:G8)</x:f>
        <x:v>3</x:v>
      </x:c>
      <x:c r="J8" s="3"/>
      <x:c r="K8" s="3"/>
      <x:c r="L8" s="3"/>
      <x:c r="M8" s="3"/>
      <x:c r="N8" s="3"/>
    </x:row>
    <x:row r="9" ht="30" customHeight="1">
      <x:c r="A9" s="42" t="str">
        <x:v>HU-10 - Probar proceso de vinculación</x:v>
      </x:c>
      <x:c r="B9" s="43" t="n">
        <x:v>2</x:v>
      </x:c>
      <x:c r="C9" s="54" t="n">
        <x:v>0</x:v>
      </x:c>
      <x:c r="D9" s="54" t="n">
        <x:v>2</x:v>
      </x:c>
      <x:c r="E9" s="54" t="n">
        <x:v>0</x:v>
      </x:c>
      <x:c r="F9" s="54" t="n">
        <x:v>0</x:v>
      </x:c>
      <x:c r="G9" s="54" t="n">
        <x:v>0</x:v>
      </x:c>
      <x:c r="H9" s="54"/>
      <x:c r="I9" s="56" t="n">
        <x:f t="shared" si="0">SUM(C9:G9)</x:f>
        <x:v>2</x:v>
      </x:c>
      <x:c r="J9" s="3"/>
      <x:c r="K9" s="3"/>
      <x:c r="L9" s="3"/>
      <x:c r="M9" s="3"/>
      <x:c r="N9" s="3"/>
    </x:row>
    <x:row r="10" ht="30" customHeight="1">
      <x:c r="A10" s="42" t="str">
        <x:v>HU-19 - Diseñar visualización de solicitud de vinculación</x:v>
      </x:c>
      <x:c r="B10" s="43" t="n">
        <x:v>2</x:v>
      </x:c>
      <x:c r="C10" s="54" t="n">
        <x:v>0</x:v>
      </x:c>
      <x:c r="D10" s="54" t="n">
        <x:v>2</x:v>
      </x:c>
      <x:c r="E10" s="54" t="n">
        <x:v>0</x:v>
      </x:c>
      <x:c r="F10" s="54" t="n">
        <x:v>0</x:v>
      </x:c>
      <x:c r="G10" s="54" t="n">
        <x:v>0</x:v>
      </x:c>
      <x:c r="H10" s="54"/>
      <x:c r="I10" s="56" t="n">
        <x:f t="shared" si="0">SUM(C10:G10)</x:f>
        <x:v>2</x:v>
      </x:c>
      <x:c r="J10" s="3"/>
      <x:c r="K10" s="3"/>
      <x:c r="L10" s="3"/>
      <x:c r="M10" s="3"/>
      <x:c r="N10" s="3"/>
    </x:row>
    <x:row r="11" ht="30" customHeight="1">
      <x:c r="A11" s="42" t="str">
        <x:v>HU-19 - Implementar aceptación de solicitud de vinculación</x:v>
      </x:c>
      <x:c r="B11" s="43" t="n">
        <x:v>3</x:v>
      </x:c>
      <x:c r="C11" s="54" t="n">
        <x:v>0</x:v>
      </x:c>
      <x:c r="D11" s="54" t="n">
        <x:v>3</x:v>
      </x:c>
      <x:c r="E11" s="54" t="n">
        <x:v>0</x:v>
      </x:c>
      <x:c r="F11" s="54" t="n">
        <x:v>0</x:v>
      </x:c>
      <x:c r="G11" s="54" t="n">
        <x:v>0</x:v>
      </x:c>
      <x:c r="H11" s="54"/>
      <x:c r="I11" s="56" t="n">
        <x:f t="shared" si="0">SUM(C11:G11)</x:f>
        <x:v>3</x:v>
      </x:c>
      <x:c r="J11" s="3"/>
      <x:c r="K11" s="3"/>
      <x:c r="L11" s="3"/>
      <x:c r="M11" s="3"/>
      <x:c r="N11" s="3"/>
    </x:row>
    <x:row r="12" ht="30" customHeight="1">
      <x:c r="A12" s="42" t="str">
        <x:v>HU-19 - Validar asociación después de aceptar solicitud</x:v>
      </x:c>
      <x:c r="B12" s="43" t="n">
        <x:v>2</x:v>
      </x:c>
      <x:c r="C12" s="54" t="n">
        <x:v>0</x:v>
      </x:c>
      <x:c r="D12" s="54" t="n">
        <x:v>2</x:v>
      </x:c>
      <x:c r="E12" s="54" t="n">
        <x:v>0</x:v>
      </x:c>
      <x:c r="F12" s="54" t="n">
        <x:v>0</x:v>
      </x:c>
      <x:c r="G12" s="54" t="n">
        <x:v>0</x:v>
      </x:c>
      <x:c r="H12" s="54"/>
      <x:c r="I12" s="56" t="n">
        <x:f t="shared" si="0">SUM(C12:G12)</x:f>
        <x:v>2</x:v>
      </x:c>
      <x:c r="J12" s="3"/>
      <x:c r="K12" s="3"/>
      <x:c r="L12" s="3"/>
      <x:c r="M12" s="3"/>
      <x:c r="N12" s="3"/>
    </x:row>
    <x:row r="13" ht="30" customHeight="1">
      <x:c r="A13" s="42" t="str">
        <x:v>HU-19 - Probar aceptación de vinculación</x:v>
      </x:c>
      <x:c r="B13" s="43" t="n">
        <x:v>2</x:v>
      </x:c>
      <x:c r="C13" s="54" t="n">
        <x:v>0</x:v>
      </x:c>
      <x:c r="D13" s="54" t="n">
        <x:v>1</x:v>
      </x:c>
      <x:c r="E13" s="54" t="n">
        <x:v>1</x:v>
      </x:c>
      <x:c r="F13" s="54" t="n">
        <x:v>0</x:v>
      </x:c>
      <x:c r="G13" s="54" t="n">
        <x:v>0</x:v>
      </x:c>
      <x:c r="H13" s="54"/>
      <x:c r="I13" s="56" t="n">
        <x:f t="shared" si="0">SUM(C13:G13)</x:f>
        <x:v>2</x:v>
      </x:c>
      <x:c r="J13" s="3"/>
      <x:c r="K13" s="3"/>
      <x:c r="L13" s="3"/>
      <x:c r="M13" s="3"/>
      <x:c r="N13" s="3"/>
    </x:row>
    <x:row r="14" ht="30" customHeight="1">
      <x:c r="A14" s="42" t="str">
        <x:v>HU-03 - Solicitar permisos de ubicación al dispositivo</x:v>
      </x:c>
      <x:c r="B14" s="43" t="n">
        <x:v>2</x:v>
      </x:c>
      <x:c r="C14" s="54" t="n">
        <x:v>0</x:v>
      </x:c>
      <x:c r="D14" s="54" t="n">
        <x:v>0</x:v>
      </x:c>
      <x:c r="E14" s="54" t="n">
        <x:v>2</x:v>
      </x:c>
      <x:c r="F14" s="54" t="n">
        <x:v>0</x:v>
      </x:c>
      <x:c r="G14" s="54" t="n">
        <x:v>0</x:v>
      </x:c>
      <x:c r="H14" s="54"/>
      <x:c r="I14" s="56" t="n">
        <x:f t="shared" si="0">SUM(C14:G14)</x:f>
        <x:v>2</x:v>
      </x:c>
      <x:c r="J14" s="3"/>
      <x:c r="K14" s="3"/>
      <x:c r="L14" s="3"/>
      <x:c r="M14" s="3"/>
      <x:c r="N14" s="3"/>
    </x:row>
    <x:row r="15" ht="30" customHeight="1">
      <x:c r="A15" s="42" t="str">
        <x:v>HU-03 - Obtener latitud y longitud del dispositivo</x:v>
      </x:c>
      <x:c r="B15" s="43" t="n">
        <x:v>3</x:v>
      </x:c>
      <x:c r="C15" s="54" t="n">
        <x:v>0</x:v>
      </x:c>
      <x:c r="D15" s="54" t="n">
        <x:v>0</x:v>
      </x:c>
      <x:c r="E15" s="54" t="n">
        <x:v>3</x:v>
      </x:c>
      <x:c r="F15" s="54" t="n">
        <x:v>0</x:v>
      </x:c>
      <x:c r="G15" s="54" t="n">
        <x:v>0</x:v>
      </x:c>
      <x:c r="H15" s="54"/>
      <x:c r="I15" s="56" t="n">
        <x:f t="shared" si="0">SUM(C15:G15)</x:f>
        <x:v>3</x:v>
      </x:c>
      <x:c r="J15" s="3"/>
      <x:c r="K15" s="3"/>
      <x:c r="L15" s="3"/>
      <x:c r="M15" s="3"/>
      <x:c r="N15" s="3"/>
    </x:row>
    <x:row r="16" ht="30" customHeight="1">
      <x:c r="A16" s="42" t="str">
        <x:v>HU-03 - Mostrar ubicación actual del usuario</x:v>
      </x:c>
      <x:c r="B16" s="43" t="n">
        <x:v>2</x:v>
      </x:c>
      <x:c r="C16" s="54" t="n">
        <x:v>0</x:v>
      </x:c>
      <x:c r="D16" s="54" t="n">
        <x:v>0</x:v>
      </x:c>
      <x:c r="E16" s="54" t="n">
        <x:v>2</x:v>
      </x:c>
      <x:c r="F16" s="54" t="n">
        <x:v>0</x:v>
      </x:c>
      <x:c r="G16" s="54" t="n">
        <x:v>0</x:v>
      </x:c>
      <x:c r="H16" s="54"/>
      <x:c r="I16" s="56" t="n">
        <x:f t="shared" si="0">SUM(C16:G16)</x:f>
        <x:v>2</x:v>
      </x:c>
      <x:c r="J16" s="3"/>
      <x:c r="K16" s="3"/>
      <x:c r="L16" s="3"/>
      <x:c r="M16" s="3"/>
      <x:c r="N16" s="3"/>
    </x:row>
    <x:row r="17" ht="30" customHeight="1">
      <x:c r="A17" s="42" t="str">
        <x:v>HU-03 - Probar obtención de ubicación actual</x:v>
      </x:c>
      <x:c r="B17" s="43" t="n">
        <x:v>2</x:v>
      </x:c>
      <x:c r="C17" s="54" t="n">
        <x:v>0</x:v>
      </x:c>
      <x:c r="D17" s="54" t="n">
        <x:v>0</x:v>
      </x:c>
      <x:c r="E17" s="54" t="n">
        <x:v>2</x:v>
      </x:c>
      <x:c r="F17" s="54" t="n">
        <x:v>0</x:v>
      </x:c>
      <x:c r="G17" s="54" t="n">
        <x:v>0</x:v>
      </x:c>
      <x:c r="H17" s="54"/>
      <x:c r="I17" s="56" t="n">
        <x:f t="shared" si="0">SUM(C17:G17)</x:f>
        <x:v>2</x:v>
      </x:c>
      <x:c r="J17" s="3"/>
      <x:c r="K17" s="3"/>
      <x:c r="L17" s="3"/>
      <x:c r="M17" s="3"/>
      <x:c r="N17" s="3"/>
    </x:row>
    <x:row r="18" ht="30" customHeight="1">
      <x:c r="A18" s="42" t="str">
        <x:v>HU-04 - Implementar disponibilidad de ubicación para usuario vinculado</x:v>
      </x:c>
      <x:c r="B18" s="43" t="n">
        <x:v>3</x:v>
      </x:c>
      <x:c r="C18" s="54" t="n">
        <x:v>0</x:v>
      </x:c>
      <x:c r="D18" s="54" t="n">
        <x:v>0</x:v>
      </x:c>
      <x:c r="E18" s="54" t="n">
        <x:v>2</x:v>
      </x:c>
      <x:c r="F18" s="54" t="n">
        <x:v>1</x:v>
      </x:c>
      <x:c r="G18" s="54" t="n">
        <x:v>0</x:v>
      </x:c>
      <x:c r="H18" s="54"/>
      <x:c r="I18" s="56" t="n">
        <x:f t="shared" si="0">SUM(C18:G18)</x:f>
        <x:v>3</x:v>
      </x:c>
      <x:c r="J18" s="3"/>
      <x:c r="K18" s="3"/>
      <x:c r="L18" s="3"/>
      <x:c r="M18" s="3"/>
      <x:c r="N18" s="3"/>
    </x:row>
    <x:row r="19" ht="30" customHeight="1">
      <x:c r="A19" s="42" t="str">
        <x:v>HU-04 - Validar permisos para compartir ubicación</x:v>
      </x:c>
      <x:c r="B19" s="43" t="n">
        <x:v>2</x:v>
      </x:c>
      <x:c r="C19" s="54" t="n">
        <x:v>0</x:v>
      </x:c>
      <x:c r="D19" s="54" t="n">
        <x:v>0</x:v>
      </x:c>
      <x:c r="E19" s="54" t="n">
        <x:v>0</x:v>
      </x:c>
      <x:c r="F19" s="54" t="n">
        <x:v>2</x:v>
      </x:c>
      <x:c r="G19" s="54" t="n">
        <x:v>0</x:v>
      </x:c>
      <x:c r="H19" s="54"/>
      <x:c r="I19" s="56" t="n">
        <x:f t="shared" si="0">SUM(C19:G19)</x:f>
        <x:v>2</x:v>
      </x:c>
      <x:c r="J19" s="3"/>
      <x:c r="K19" s="3"/>
      <x:c r="L19" s="3"/>
      <x:c r="M19" s="3"/>
      <x:c r="N19" s="3"/>
    </x:row>
    <x:row r="20" ht="30" customHeight="1">
      <x:c r="A20" s="42" t="str">
        <x:v>HU-04 - Actualizar información de ubicación compartida</x:v>
      </x:c>
      <x:c r="B20" s="43" t="n">
        <x:v>3</x:v>
      </x:c>
      <x:c r="C20" s="54" t="n">
        <x:v>0</x:v>
      </x:c>
      <x:c r="D20" s="54" t="n">
        <x:v>0</x:v>
      </x:c>
      <x:c r="E20" s="54" t="n">
        <x:v>0</x:v>
      </x:c>
      <x:c r="F20" s="54" t="n">
        <x:v>3</x:v>
      </x:c>
      <x:c r="G20" s="54" t="n">
        <x:v>0</x:v>
      </x:c>
      <x:c r="H20" s="54"/>
      <x:c r="I20" s="56" t="n">
        <x:f t="shared" si="0">SUM(C20:G20)</x:f>
        <x:v>3</x:v>
      </x:c>
      <x:c r="J20" s="3"/>
      <x:c r="K20" s="3"/>
      <x:c r="L20" s="3"/>
      <x:c r="M20" s="3"/>
      <x:c r="N20" s="3"/>
    </x:row>
    <x:row r="21" ht="30" customHeight="1">
      <x:c r="A21" s="42" t="str">
        <x:v>HU-04 - Probar funcionamiento de ubicación compartida</x:v>
      </x:c>
      <x:c r="B21" s="43" t="n">
        <x:v>2</x:v>
      </x:c>
      <x:c r="C21" s="54" t="n">
        <x:v>0</x:v>
      </x:c>
      <x:c r="D21" s="54" t="n">
        <x:v>0</x:v>
      </x:c>
      <x:c r="E21" s="54" t="n">
        <x:v>0</x:v>
      </x:c>
      <x:c r="F21" s="54" t="n">
        <x:v>2</x:v>
      </x:c>
      <x:c r="G21" s="54" t="n">
        <x:v>0</x:v>
      </x:c>
      <x:c r="H21" s="54"/>
      <x:c r="I21" s="56" t="n">
        <x:f t="shared" si="0">SUM(C21:G21)</x:f>
        <x:v>2</x:v>
      </x:c>
      <x:c r="J21" s="3"/>
      <x:c r="K21" s="3"/>
      <x:c r="L21" s="3"/>
      <x:c r="M21" s="3"/>
      <x:c r="N21" s="3"/>
    </x:row>
    <x:row r="22" ht="30" customHeight="1">
      <x:c r="A22" s="42" t="str">
        <x:v>HU-11 - Obtener ubicación del adulto mayor vinculado</x:v>
      </x:c>
      <x:c r="B22" s="43" t="n">
        <x:v>2</x:v>
      </x:c>
      <x:c r="C22" s="54" t="n">
        <x:v>0</x:v>
      </x:c>
      <x:c r="D22" s="54" t="n">
        <x:v>0</x:v>
      </x:c>
      <x:c r="E22" s="54" t="n">
        <x:v>0</x:v>
      </x:c>
      <x:c r="F22" s="54" t="n">
        <x:v>2</x:v>
      </x:c>
      <x:c r="G22" s="54" t="n">
        <x:v>0</x:v>
      </x:c>
      <x:c r="H22" s="54"/>
      <x:c r="I22" s="56" t="n">
        <x:f t="shared" si="0">SUM(C22:G22)</x:f>
        <x:v>2</x:v>
      </x:c>
      <x:c r="J22" s="3"/>
      <x:c r="K22" s="3"/>
      <x:c r="L22" s="3"/>
      <x:c r="M22" s="3"/>
      <x:c r="N22" s="3"/>
    </x:row>
    <x:row r="23" ht="30" customHeight="1">
      <x:c r="A23" s="42" t="str">
        <x:v>HU-11 - Integrar y visualizar ubicación del adulto mayor en el mapa</x:v>
      </x:c>
      <x:c r="B23" s="43" t="n">
        <x:v>5</x:v>
      </x:c>
      <x:c r="C23" s="54" t="n">
        <x:v>0</x:v>
      </x:c>
      <x:c r="D23" s="54" t="n">
        <x:v>0</x:v>
      </x:c>
      <x:c r="E23" s="54" t="n">
        <x:v>0</x:v>
      </x:c>
      <x:c r="F23" s="54" t="n">
        <x:v>0</x:v>
      </x:c>
      <x:c r="G23" s="54" t="n">
        <x:v>5</x:v>
      </x:c>
      <x:c r="H23" s="54"/>
      <x:c r="I23" s="56" t="n">
        <x:f>SUM(C23:G23)</x:f>
        <x:v>5</x:v>
      </x:c>
      <x:c r="J23" s="3"/>
      <x:c r="K23" s="3"/>
      <x:c r="L23" s="3"/>
      <x:c r="M23" s="3"/>
      <x:c r="N23" s="3"/>
    </x:row>
    <x:row r="24" ht="30" customHeight="1">
      <x:c r="A24" s="42" t="str">
        <x:v>HU-11 - Probar visualización y actualización desde perfil del cuidador</x:v>
      </x:c>
      <x:c r="B24" s="43" t="n">
        <x:v>3</x:v>
      </x:c>
      <x:c r="C24" s="54" t="n">
        <x:v>0</x:v>
      </x:c>
      <x:c r="D24" s="54" t="n">
        <x:v>0</x:v>
      </x:c>
      <x:c r="E24" s="54" t="n">
        <x:v>0</x:v>
      </x:c>
      <x:c r="F24" s="54" t="n">
        <x:v>0</x:v>
      </x:c>
      <x:c r="G24" s="54" t="n">
        <x:v>3</x:v>
      </x:c>
      <x:c r="H24" s="54"/>
      <x:c r="I24" s="57" t="n">
        <x:f>SUM(C24:G24)</x:f>
        <x:v>3</x:v>
      </x:c>
      <x:c r="J24" s="3"/>
      <x:c r="K24" s="3"/>
      <x:c r="L24" s="3"/>
      <x:c r="M24" s="3"/>
      <x:c r="N24" s="3"/>
    </x:row>
    <x:row r="25">
      <x:c r="A25" s="3"/>
      <x:c r="B25" s="11"/>
      <x:c r="C25" s="11"/>
      <x:c r="D25" s="11"/>
      <x:c r="E25" s="11"/>
      <x:c r="F25" s="11"/>
      <x:c r="G25" s="11"/>
      <x:c r="H25" s="11"/>
      <x:c r="I25" s="11"/>
      <x:c r="J25" s="3"/>
      <x:c r="K25" s="3"/>
      <x:c r="L25" s="3"/>
      <x:c r="M25" s="3"/>
      <x:c r="N25" s="3"/>
    </x:row>
    <x:row r="26">
      <x:c r="A26" s="3"/>
      <x:c r="B26" s="18" t="n">
        <x:f>SUM(B5:B24)</x:f>
        <x:v>50</x:v>
      </x:c>
      <x:c r="C26" s="18" t="n">
        <x:f>B26</x:f>
        <x:v>50</x:v>
      </x:c>
      <x:c r="D26" s="18" t="n">
        <x:f>C26-SUM(C5:C24)</x:f>
        <x:v>41</x:v>
      </x:c>
      <x:c r="E26" s="18" t="n">
        <x:f t="shared" ref="E26:H26" si="1">D26-SUM(D5:D24)</x:f>
        <x:v>30</x:v>
      </x:c>
      <x:c r="F26" s="18" t="n">
        <x:f t="shared" si="1">E26-SUM(E5:E24)</x:f>
        <x:v>18</x:v>
      </x:c>
      <x:c r="G26" s="18" t="n">
        <x:f t="shared" si="1">F26-SUM(F5:F24)</x:f>
        <x:v>8</x:v>
      </x:c>
      <x:c r="H26" s="18" t="n">
        <x:f t="shared" si="1">G26-SUM(G5:G24)</x:f>
        <x:v>0</x:v>
      </x:c>
      <x:c r="I26" s="11"/>
      <x:c r="J26" s="3"/>
      <x:c r="K26" s="3"/>
      <x:c r="L26" s="3"/>
      <x:c r="M26" s="3"/>
      <x:c r="N26" s="3"/>
    </x:row>
    <x:row r="27" ht="28.799999237060547">
      <x:c r="A27" s="62" t="s">
        <x:v>4</x:v>
      </x:c>
      <x:c r="B27" s="11" t="n">
        <x:f>C26</x:f>
        <x:v>50</x:v>
      </x:c>
      <x:c r="C27" s="11" t="n">
        <x:f t="shared" ref="C27:F27" si="2">D26</x:f>
        <x:v>41</x:v>
      </x:c>
      <x:c r="D27" s="11" t="n">
        <x:f t="shared" si="2">E26</x:f>
        <x:v>30</x:v>
      </x:c>
      <x:c r="E27" s="11" t="n">
        <x:f t="shared" si="2">F26</x:f>
        <x:v>18</x:v>
      </x:c>
      <x:c r="F27" s="11" t="n">
        <x:f t="shared" si="2">G26</x:f>
        <x:v>8</x:v>
      </x:c>
      <x:c r="G27" s="11" t="n">
        <x:f>H26</x:f>
        <x:v>0</x:v>
      </x:c>
      <x:c r="H27" s="11"/>
      <x:c r="I27" s="11"/>
      <x:c r="J27" s="3"/>
      <x:c r="K27" s="3"/>
      <x:c r="L27" s="3"/>
      <x:c r="M27" s="3"/>
      <x:c r="N27" s="3"/>
    </x:row>
    <x:row r="28">
      <x:c r="A28" s="62"/>
      <x:c r="B28" s="18" t="n">
        <x:f>SUM(B5:B24)</x:f>
        <x:v>50</x:v>
      </x:c>
      <x:c r="C28" s="18" t="n">
        <x:f>B28</x:f>
        <x:v>50</x:v>
      </x:c>
      <x:c r="D28" s="18" t="n">
        <x:f>C28-(SUM($B$5:$B$24)/5)</x:f>
        <x:v>40</x:v>
      </x:c>
      <x:c r="E28" s="18" t="n">
        <x:f>D28-(SUM($B$5:$B$24)/5)</x:f>
        <x:v>30</x:v>
      </x:c>
      <x:c r="F28" s="18" t="n">
        <x:f>E28-(SUM($B$5:$B$24)/5)</x:f>
        <x:v>20</x:v>
      </x:c>
      <x:c r="G28" s="18" t="n">
        <x:f>F28-(SUM($B$5:$B$24)/5)</x:f>
        <x:v>10</x:v>
      </x:c>
      <x:c r="H28" s="18" t="n">
        <x:f>G28-(SUM($B$5:$B$24)/5)</x:f>
        <x:v>0</x:v>
      </x:c>
      <x:c r="I28" s="18"/>
      <x:c r="J28" s="3"/>
      <x:c r="K28" s="3"/>
      <x:c r="L28" s="3"/>
      <x:c r="M28" s="3"/>
      <x:c r="N28" s="3"/>
    </x:row>
    <x:row r="29" ht="28.799999237060547">
      <x:c r="A29" s="62" t="s">
        <x:v>5</x:v>
      </x:c>
      <x:c r="B29" s="11" t="n">
        <x:f>B28</x:f>
        <x:v>50</x:v>
      </x:c>
      <x:c r="C29" s="11" t="n">
        <x:f>D28</x:f>
        <x:v>40</x:v>
      </x:c>
      <x:c r="D29" s="11" t="n">
        <x:f t="shared" ref="D29:F29" si="3">E28</x:f>
        <x:v>30</x:v>
      </x:c>
      <x:c r="E29" s="11" t="n">
        <x:f t="shared" si="3">F28</x:f>
        <x:v>20</x:v>
      </x:c>
      <x:c r="F29" s="11" t="n">
        <x:f t="shared" si="3">G28</x:f>
        <x:v>10</x:v>
      </x:c>
      <x:c r="G29" s="11" t="n">
        <x:f>H28</x:f>
        <x:v>0</x:v>
      </x:c>
      <x:c r="H29" s="11"/>
      <x:c r="I29" s="11"/>
      <x:c r="J29" s="3"/>
      <x:c r="K29" s="3"/>
      <x:c r="L29" s="3"/>
      <x:c r="M29" s="3"/>
      <x:c r="N29" s="3"/>
    </x:row>
    <x:row r="30">
      <x:c r="A30" s="9"/>
      <x:c r="B30" s="16"/>
      <x:c r="C30" s="17"/>
      <x:c r="D30" s="17"/>
      <x:c r="E30" s="17"/>
      <x:c r="F30" s="17"/>
      <x:c r="G30" s="17"/>
      <x:c r="H30" s="17"/>
      <x:c r="I30" s="11"/>
      <x:c r="J30" s="3"/>
      <x:c r="K30" s="3"/>
      <x:c r="L30" s="3"/>
      <x:c r="M30" s="3"/>
      <x:c r="N30" s="3"/>
    </x:row>
    <x:row r="31">
      <x:c r="A31" s="9"/>
      <x:c r="B31" s="16"/>
      <x:c r="C31" s="17"/>
      <x:c r="D31" s="17"/>
      <x:c r="E31" s="17"/>
      <x:c r="F31" s="17"/>
      <x:c r="G31" s="16"/>
      <x:c r="H31" s="17"/>
      <x:c r="I31" s="11"/>
      <x:c r="J31" s="3"/>
      <x:c r="K31" s="3"/>
      <x:c r="L31" s="3"/>
      <x:c r="M31" s="3"/>
      <x:c r="N31" s="3"/>
    </x:row>
    <x:row r="32">
      <x:c r="A32" s="9"/>
      <x:c r="B32" s="14"/>
      <x:c r="C32" s="15"/>
      <x:c r="D32" s="15"/>
      <x:c r="E32" s="15"/>
      <x:c r="F32" s="15"/>
      <x:c r="G32" s="14"/>
      <x:c r="H32" s="15"/>
      <x:c r="I32" s="13"/>
      <x:c r="J32" s="3"/>
      <x:c r="K32" s="3"/>
      <x:c r="L32" s="3"/>
      <x:c r="M32" s="3"/>
      <x:c r="N32" s="3"/>
    </x:row>
    <x:row r="33">
      <x:c r="A33" s="9"/>
      <x:c r="B33" s="19"/>
      <x:c r="C33" s="9"/>
      <x:c r="D33" s="9"/>
      <x:c r="E33" s="9"/>
      <x:c r="F33" s="9"/>
      <x:c r="G33" s="19"/>
      <x:c r="H33" s="9"/>
      <x:c r="I33" s="3"/>
      <x:c r="J33" s="3"/>
      <x:c r="K33" s="3"/>
      <x:c r="L33" s="3"/>
      <x:c r="M33" s="3"/>
      <x:c r="N33" s="3"/>
    </x:row>
    <x:row r="34">
      <x:c r="A34" s="9"/>
      <x:c r="B34" s="19"/>
      <x:c r="C34" s="9"/>
      <x:c r="D34" s="9"/>
      <x:c r="E34" s="9"/>
      <x:c r="F34" s="9"/>
      <x:c r="G34" s="19"/>
      <x:c r="H34" s="9"/>
      <x:c r="I34" s="3"/>
      <x:c r="J34" s="3"/>
      <x:c r="K34" s="3"/>
      <x:c r="L34" s="3"/>
      <x:c r="M34" s="3"/>
      <x:c r="N34" s="3"/>
    </x:row>
    <x:row r="35">
      <x:c r="A35" s="1"/>
      <x:c r="B35" s="2"/>
      <x:c r="C35" s="1"/>
      <x:c r="D35" s="1"/>
      <x:c r="E35" s="1"/>
      <x:c r="F35" s="1"/>
      <x:c r="G35" s="2"/>
      <x:c r="H35" s="1"/>
    </x:row>
    <x:row r="36">
      <x:c r="A36" s="1"/>
      <x:c r="B36" s="2"/>
      <x:c r="C36" s="1"/>
      <x:c r="D36" s="1"/>
      <x:c r="E36" s="1"/>
      <x:c r="F36" s="1"/>
      <x:c r="G36" s="2"/>
      <x:c r="H36" s="1"/>
    </x:row>
    <x:row r="37">
      <x:c r="A37" s="1"/>
      <x:c r="B37" s="2"/>
      <x:c r="C37" s="1"/>
      <x:c r="D37" s="1"/>
      <x:c r="E37" s="1"/>
      <x:c r="F37" s="1"/>
      <x:c r="G37" s="1"/>
      <x:c r="H37" s="1"/>
    </x:row>
    <x:row r="38">
      <x:c r="A38" s="1"/>
      <x:c r="B38" s="2"/>
      <x:c r="C38" s="1"/>
      <x:c r="D38" s="1"/>
      <x:c r="E38" s="1"/>
      <x:c r="F38" s="1"/>
      <x:c r="G38" s="1"/>
      <x:c r="H38" s="1"/>
    </x:row>
    <x:row r="39">
      <x:c r="A39" s="1"/>
      <x:c r="B39" s="2"/>
      <x:c r="C39" s="1"/>
      <x:c r="D39" s="1"/>
      <x:c r="E39" s="1"/>
      <x:c r="F39" s="1"/>
      <x:c r="G39" s="1"/>
      <x:c r="H39" s="1"/>
    </x:row>
  </x:sheetData>
  <x:mergeCells>
    <x:mergeCell ref="C3:H3"/>
    <x:mergeCell ref="B3:B4"/>
    <x:mergeCell ref="A3:A4"/>
    <x:mergeCell ref="I3:I4"/>
  </x:mergeCells>
  <x:pageMargins left="0.7" right="0.7" top="0.75" bottom="0.75" header="0.3" footer="0.3"/>
  <x:drawing xmlns:r="http://schemas.openxmlformats.org/officeDocument/2006/relationships" r:id="R06e9ff890e2b4609"/>
</x:worksheet>
</file>