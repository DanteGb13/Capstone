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nsabilidades" sheetId="1" r:id="rId4"/>
    <sheet state="visible" name="Funciones de cada Rol" sheetId="2" r:id="rId5"/>
    <sheet state="visible" name="Horas" sheetId="3" r:id="rId6"/>
  </sheets>
  <definedNames/>
  <calcPr/>
  <extLst>
    <ext uri="GoogleSheetsCustomDataVersion2">
      <go:sheetsCustomData xmlns:go="http://customooxmlschemas.google.com/" r:id="rId7" roundtripDataChecksum="fbmuj9T5BsX8ec7atkW2Lusbl1X6NjAelbxRSqgEupU="/>
    </ext>
  </extLst>
</workbook>
</file>

<file path=xl/sharedStrings.xml><?xml version="1.0" encoding="utf-8"?>
<sst xmlns="http://schemas.openxmlformats.org/spreadsheetml/2006/main" count="229" uniqueCount="71">
  <si>
    <t>Alcances de cada Rol</t>
  </si>
  <si>
    <t>TOTAL HORAS DEL PROYECTO</t>
  </si>
  <si>
    <t>Rol</t>
  </si>
  <si>
    <t>Dirección del Proyecto</t>
  </si>
  <si>
    <t>Meses</t>
  </si>
  <si>
    <t xml:space="preserve">Alcances </t>
  </si>
  <si>
    <t>Actividad</t>
  </si>
  <si>
    <t>Total de horas</t>
  </si>
  <si>
    <t>Melanie Ortiz</t>
  </si>
  <si>
    <t>Actividades</t>
  </si>
  <si>
    <t>Paul Hidalgo</t>
  </si>
  <si>
    <t>Héctor Cornejo</t>
  </si>
  <si>
    <t>Angel Rengifo</t>
  </si>
  <si>
    <t>Análisis de la problemática y solución</t>
  </si>
  <si>
    <t>R</t>
  </si>
  <si>
    <t>A</t>
  </si>
  <si>
    <t>C</t>
  </si>
  <si>
    <t>Evaluación del proyecto.</t>
  </si>
  <si>
    <t>Acta de constitución</t>
  </si>
  <si>
    <t>Responsable de la gestión de requerimientos, análisis del problema y seguimiento general del proyecto. Participa en la definición y validación de las necesidades del negocio.</t>
  </si>
  <si>
    <t>I</t>
  </si>
  <si>
    <t>Identificación de stakeholders</t>
  </si>
  <si>
    <t>Descubrimiento y visión.</t>
  </si>
  <si>
    <t>Análisis de la problemática y solución, identificación de stakeholders, definición del producto, levantamiento y validación de requerimientos, creación de historias de usuario, Product Backlog, definición de entregables, mapa de historias de usuario, plan de lanzamiento, validación del proyecto, cierre del proyecto, coordinación y seguimiento.</t>
  </si>
  <si>
    <t>Definición del producto</t>
  </si>
  <si>
    <t>Requisitos Funcionales</t>
  </si>
  <si>
    <t>Requisitos No Funcionales</t>
  </si>
  <si>
    <t>Creación de historias de usuarios.</t>
  </si>
  <si>
    <t>HH total del proyecto:</t>
  </si>
  <si>
    <t>Especificación de reglas de negocio.</t>
  </si>
  <si>
    <t>Diseño de la arquitectura</t>
  </si>
  <si>
    <t>Modelamiento de la base de datos.</t>
  </si>
  <si>
    <t>Diseño de la base de datos</t>
  </si>
  <si>
    <t>Creación de Mockup</t>
  </si>
  <si>
    <t>Diseño de Seguridad</t>
  </si>
  <si>
    <t>Responsable del desarrollo y coordinación de las actividades técnicas del equipo, participando en la planificación, implementación y seguimiento de las funcionalidades.</t>
  </si>
  <si>
    <t>Desarrollo de Épicas</t>
  </si>
  <si>
    <t xml:space="preserve">Evaluación del proyecto, evaluación y factibilidad económica, requisitos funcionales, diseño de arquitectura junto a Angel Rengifo, desarrollo de épicas y funcionalidades, Sprint Planning, Sprint Backlog, desarrollo del sistema, integraciones, validación del proyecto, plan de continuidad y mantenimiento junto a Angel Rengifo 
</t>
  </si>
  <si>
    <t>Creación y priorización del Product Backlog.</t>
  </si>
  <si>
    <t>Definición de entregables</t>
  </si>
  <si>
    <t>Mapa de Historias de Usuario</t>
  </si>
  <si>
    <t>Plan de lanzamiento</t>
  </si>
  <si>
    <t>Sprint Planning</t>
  </si>
  <si>
    <t>Responsable de la calidad del software, diseño de interfaces y ejecución de pruebas, asegurando que las funcionalidades cumplan con los requerimientos definidos.</t>
  </si>
  <si>
    <t>Sprint Backlog</t>
  </si>
  <si>
    <t xml:space="preserve">Acta de constitución junto a Paul Hidalgo, requisitos no funcionales, especificación de reglas de negocio, creación de mockups, desarrollo de épicas y funcionalidades, plan de pruebas de calidad, pruebas funcionales, pruebas no funcionales, corrección de errores y ajustes junto a Angel Rengifo, manual de instalación y manual de usuario  
</t>
  </si>
  <si>
    <t>Daily Meetings</t>
  </si>
  <si>
    <t>Diseño del sistema</t>
  </si>
  <si>
    <t>Base de datos</t>
  </si>
  <si>
    <t>Responsable de DevOps, arquitectura, infraestructura, servicios en la nube, integración y seguridad de la solución. Apoya técnicamente al equipo durante el desarrollo y despliegue.</t>
  </si>
  <si>
    <t>Desarrollo de funcionalidades</t>
  </si>
  <si>
    <t>Integración del sistema</t>
  </si>
  <si>
    <t xml:space="preserve">Descubrimiento y visión, creación de historias de usuario junto a Melanie Ortiz, diseño de arquitectura junto a Paul Hidalgo, modelamiento y diseño de base de datos, diseño de seguridad, desarrollo del sistema, integración con base de datos e infraestructura, arquitectura de despliegue, corrección de errores y ajustes junto a Héctor Cornejo, plan de continuidad y mantenimiento junto a Paul Hidalgo </t>
  </si>
  <si>
    <t>Sprint Review</t>
  </si>
  <si>
    <t>Retrospectiva</t>
  </si>
  <si>
    <t>Plan de pruebas de calidad</t>
  </si>
  <si>
    <t>Pruebas Funcionales</t>
  </si>
  <si>
    <t>Pruebas No Funcionales</t>
  </si>
  <si>
    <t>Corrección de errores y ajustes</t>
  </si>
  <si>
    <t>Validación del proyecto</t>
  </si>
  <si>
    <t>Evaluación y factibilidad económica.</t>
  </si>
  <si>
    <t>Arquitectura de despliegue</t>
  </si>
  <si>
    <t>Manual de instalación</t>
  </si>
  <si>
    <t>Manual de usuario</t>
  </si>
  <si>
    <t>Plan de continuidad y mantenimiento</t>
  </si>
  <si>
    <t>Cierre del proyecto.</t>
  </si>
  <si>
    <t>Matriz de Responsabilidades</t>
  </si>
  <si>
    <t>R (Responsable)</t>
  </si>
  <si>
    <t>A (Sub Ordinado - Responsable</t>
  </si>
  <si>
    <t>C (Consultado)</t>
  </si>
  <si>
    <t>I (Informado)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</si>
</sst>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18">
    <font>
      <sz val="11.0"/>
      <color theme="1"/>
      <name val="Calibri"/>
      <scheme val="minor"/>
    </font>
    <font>
      <sz val="11.0"/>
      <color theme="1"/>
      <name val="Calibri"/>
    </font>
    <font/>
    <font>
      <b/>
      <sz val="11.0"/>
      <color theme="0"/>
      <name val="Calibri"/>
    </font>
    <font>
      <b/>
      <sz val="12.0"/>
      <color theme="0"/>
      <name val="Calibri"/>
    </font>
    <font>
      <b/>
      <sz val="13.0"/>
      <color rgb="FFFFFFFF"/>
      <name val="Calibri"/>
      <scheme val="minor"/>
    </font>
    <font>
      <b/>
      <sz val="13.0"/>
      <color rgb="FF000000"/>
      <name val="Calibri"/>
    </font>
    <font>
      <b/>
      <sz val="12.0"/>
      <color rgb="FF000000"/>
      <name val="Calibri"/>
    </font>
    <font>
      <sz val="12.0"/>
      <color theme="1"/>
      <name val="Calibri"/>
    </font>
    <font>
      <b/>
      <color rgb="FF000000"/>
      <name val="Arial Narrow"/>
    </font>
    <font>
      <b/>
      <color rgb="FFFFFFFF"/>
      <name val="Calibri"/>
    </font>
    <font>
      <sz val="11.0"/>
      <color rgb="FF595959"/>
      <name val="Calibri"/>
    </font>
    <font>
      <sz val="11.0"/>
      <color rgb="FF000000"/>
      <name val="Calibri"/>
    </font>
    <font>
      <color rgb="FF000000"/>
      <name val="Calibri"/>
    </font>
    <font>
      <b/>
      <color rgb="FFFFFFFF"/>
      <name val="Arial Narrow"/>
    </font>
    <font>
      <sz val="11.0"/>
      <color rgb="FF595959"/>
      <name val="Arial Narrow"/>
    </font>
    <font>
      <color rgb="FF595959"/>
      <name val="Arial Narrow"/>
    </font>
    <font>
      <b/>
      <sz val="11.0"/>
      <color rgb="FF595959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274E13"/>
        <bgColor rgb="FF274E13"/>
      </patternFill>
    </fill>
    <fill>
      <patternFill patternType="solid">
        <fgColor rgb="FF548135"/>
        <bgColor rgb="FF548135"/>
      </patternFill>
    </fill>
    <fill>
      <patternFill patternType="solid">
        <fgColor theme="9"/>
        <bgColor theme="9"/>
      </patternFill>
    </fill>
    <fill>
      <patternFill patternType="solid">
        <fgColor rgb="FFC5E0B3"/>
        <bgColor rgb="FFC5E0B3"/>
      </patternFill>
    </fill>
    <fill>
      <patternFill patternType="solid">
        <fgColor rgb="FFA8D08D"/>
        <bgColor rgb="FFA8D08D"/>
      </patternFill>
    </fill>
  </fills>
  <borders count="27">
    <border/>
    <border>
      <top style="medium">
        <color rgb="FF000000"/>
      </top>
      <bottom/>
    </border>
    <border>
      <left style="medium">
        <color rgb="FF000000"/>
      </left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thin">
        <color rgb="FF548135"/>
      </right>
      <top style="thin">
        <color rgb="FF548135"/>
      </top>
    </border>
    <border>
      <left/>
      <right style="thin">
        <color rgb="FF548135"/>
      </right>
      <top/>
    </border>
    <border>
      <left style="thin">
        <color rgb="FF548135"/>
      </left>
      <right style="thin">
        <color rgb="FF548135"/>
      </right>
      <top style="thin">
        <color rgb="FF548135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 style="thin">
        <color rgb="FF548135"/>
      </left>
      <top style="thin">
        <color rgb="FF548135"/>
      </top>
    </border>
    <border>
      <top style="thin">
        <color rgb="FF548135"/>
      </top>
    </border>
    <border>
      <right style="medium">
        <color rgb="FF000000"/>
      </right>
      <top style="thin">
        <color rgb="FF548135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548135"/>
      </left>
      <right style="thin">
        <color rgb="FF548135"/>
      </right>
      <top style="thin">
        <color rgb="FF548135"/>
      </top>
      <bottom style="thin">
        <color rgb="FF548135"/>
      </bottom>
    </border>
    <border>
      <left style="thin">
        <color rgb="FF548135"/>
      </left>
      <right style="medium">
        <color rgb="FF000000"/>
      </right>
      <top style="thin">
        <color rgb="FF548135"/>
      </top>
      <bottom style="thin">
        <color rgb="FF548135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A5A5A5"/>
      </left>
      <top style="thin">
        <color rgb="FFA5A5A5"/>
      </top>
    </border>
    <border>
      <left style="thin">
        <color rgb="FFA5A5A5"/>
      </left>
    </border>
    <border>
      <left style="thin">
        <color rgb="FFA5A5A5"/>
      </left>
      <bottom style="thin">
        <color rgb="FFA5A5A5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Border="1" applyFont="1"/>
    <xf borderId="2" fillId="2" fontId="3" numFmtId="0" xfId="0" applyAlignment="1" applyBorder="1" applyFill="1" applyFont="1">
      <alignment horizontal="center" vertical="center"/>
    </xf>
    <xf borderId="3" fillId="0" fontId="2" numFmtId="0" xfId="0" applyBorder="1" applyFont="1"/>
    <xf borderId="4" fillId="0" fontId="1" numFmtId="0" xfId="0" applyBorder="1" applyFont="1"/>
    <xf borderId="5" fillId="0" fontId="1" numFmtId="0" xfId="0" applyBorder="1" applyFont="1"/>
    <xf borderId="6" fillId="3" fontId="4" numFmtId="0" xfId="0" applyAlignment="1" applyBorder="1" applyFill="1" applyFont="1">
      <alignment horizontal="center"/>
    </xf>
    <xf borderId="0" fillId="4" fontId="5" numFmtId="0" xfId="0" applyAlignment="1" applyFill="1" applyFont="1">
      <alignment horizontal="center" readingOrder="0" vertical="center"/>
    </xf>
    <xf borderId="7" fillId="3" fontId="4" numFmtId="0" xfId="0" applyAlignment="1" applyBorder="1" applyFill="1" applyFont="1">
      <alignment horizontal="center"/>
    </xf>
    <xf borderId="8" fillId="3" fontId="4" numFmtId="0" xfId="0" applyAlignment="1" applyBorder="1" applyFill="1" applyFont="1">
      <alignment horizontal="right"/>
    </xf>
    <xf borderId="9" fillId="5" fontId="6" numFmtId="0" xfId="0" applyAlignment="1" applyBorder="1" applyFill="1" applyFont="1">
      <alignment horizontal="center" vertical="center"/>
    </xf>
    <xf borderId="8" fillId="3" fontId="4" numFmtId="0" xfId="0" applyAlignment="1" applyBorder="1" applyFill="1" applyFont="1">
      <alignment horizontal="center"/>
    </xf>
    <xf borderId="10" fillId="3" fontId="4" numFmtId="0" xfId="0" applyAlignment="1" applyBorder="1" applyFill="1" applyFont="1">
      <alignment horizontal="center"/>
    </xf>
    <xf borderId="9" fillId="5" fontId="7" numFmtId="0" xfId="0" applyAlignment="1" applyBorder="1" applyFill="1" applyFont="1">
      <alignment horizontal="center" readingOrder="0" shrinkToFit="0" vertical="center" wrapText="1"/>
    </xf>
    <xf borderId="11" fillId="3" fontId="4" numFmtId="164" xfId="0" applyAlignment="1" applyBorder="1" applyFill="1" applyFont="1" applyNumberFormat="1">
      <alignment horizontal="center"/>
    </xf>
    <xf borderId="12" fillId="0" fontId="2" numFmtId="0" xfId="0" applyBorder="1" applyFont="1"/>
    <xf borderId="13" fillId="0" fontId="2" numFmtId="0" xfId="0" applyBorder="1" applyFont="1"/>
    <xf borderId="9" fillId="6" fontId="8" numFmtId="0" xfId="0" applyAlignment="1" applyBorder="1" applyFill="1" applyFont="1">
      <alignment readingOrder="0"/>
    </xf>
    <xf borderId="9" fillId="0" fontId="8" numFmtId="0" xfId="0" applyAlignment="1" applyBorder="1" applyFont="1">
      <alignment horizontal="center" readingOrder="0" vertical="center"/>
    </xf>
    <xf borderId="14" fillId="6" fontId="9" numFmtId="0" xfId="0" applyAlignment="1" applyBorder="1" applyFill="1" applyFont="1">
      <alignment horizontal="center" shrinkToFit="0" vertical="center" wrapText="1"/>
    </xf>
    <xf borderId="9" fillId="4" fontId="10" numFmtId="0" xfId="0" applyAlignment="1" applyBorder="1" applyFill="1" applyFont="1">
      <alignment horizontal="center" shrinkToFit="0" vertical="center" wrapText="1"/>
    </xf>
    <xf borderId="15" fillId="0" fontId="1" numFmtId="0" xfId="0" applyAlignment="1" applyBorder="1" applyFont="1">
      <alignment horizontal="center" readingOrder="0"/>
    </xf>
    <xf borderId="16" fillId="0" fontId="11" numFmtId="0" xfId="0" applyAlignment="1" applyBorder="1" applyFont="1">
      <alignment horizontal="center" readingOrder="0"/>
    </xf>
    <xf borderId="17" fillId="0" fontId="12" numFmtId="0" xfId="0" applyAlignment="1" applyBorder="1" applyFont="1">
      <alignment horizontal="center" readingOrder="0" shrinkToFit="0" vertical="center" wrapText="1"/>
    </xf>
    <xf borderId="18" fillId="0" fontId="2" numFmtId="0" xfId="0" applyBorder="1" applyFont="1"/>
    <xf borderId="14" fillId="0" fontId="13" numFmtId="0" xfId="0" applyAlignment="1" applyBorder="1" applyFont="1">
      <alignment horizontal="center" readingOrder="0" shrinkToFit="0" vertical="center" wrapText="1"/>
    </xf>
    <xf borderId="19" fillId="0" fontId="2" numFmtId="0" xfId="0" applyBorder="1" applyFont="1"/>
    <xf borderId="20" fillId="0" fontId="2" numFmtId="0" xfId="0" applyBorder="1" applyFont="1"/>
    <xf borderId="9" fillId="0" fontId="1" numFmtId="0" xfId="0" applyAlignment="1" applyBorder="1" applyFont="1">
      <alignment horizontal="right"/>
    </xf>
    <xf borderId="21" fillId="0" fontId="11" numFmtId="0" xfId="0" applyAlignment="1" applyBorder="1" applyFont="1">
      <alignment horizontal="center"/>
    </xf>
    <xf borderId="9" fillId="4" fontId="10" numFmtId="0" xfId="0" applyAlignment="1" applyBorder="1" applyFill="1" applyFont="1">
      <alignment horizontal="center" readingOrder="0" shrinkToFit="0" vertical="center" wrapText="1"/>
    </xf>
    <xf borderId="0" fillId="0" fontId="14" numFmtId="0" xfId="0" applyAlignment="1" applyFont="1">
      <alignment horizontal="center" shrinkToFit="0" vertical="center" wrapText="1"/>
    </xf>
    <xf borderId="0" fillId="0" fontId="15" numFmtId="0" xfId="0" applyAlignment="1" applyFont="1">
      <alignment horizontal="left" shrinkToFit="0" vertical="center" wrapText="1"/>
    </xf>
    <xf borderId="0" fillId="0" fontId="16" numFmtId="0" xfId="0" applyAlignment="1" applyFont="1">
      <alignment shrinkToFit="0" vertical="center" wrapText="1"/>
    </xf>
    <xf borderId="9" fillId="6" fontId="8" numFmtId="0" xfId="0" applyBorder="1" applyFill="1" applyFont="1"/>
    <xf borderId="22" fillId="3" fontId="3" numFmtId="0" xfId="0" applyAlignment="1" applyBorder="1" applyFill="1" applyFont="1">
      <alignment horizontal="center" vertical="center"/>
    </xf>
    <xf borderId="14" fillId="0" fontId="17" numFmtId="0" xfId="0" applyAlignment="1" applyBorder="1" applyFont="1">
      <alignment horizontal="left"/>
    </xf>
    <xf borderId="23" fillId="0" fontId="2" numFmtId="0" xfId="0" applyBorder="1" applyFont="1"/>
    <xf borderId="14" fillId="0" fontId="17" numFmtId="0" xfId="0" applyAlignment="1" applyBorder="1" applyFont="1">
      <alignment horizontal="left" shrinkToFit="0" wrapText="1"/>
    </xf>
    <xf borderId="24" fillId="0" fontId="2" numFmtId="0" xfId="0" applyBorder="1" applyFont="1"/>
    <xf borderId="0" fillId="0" fontId="1" numFmtId="0" xfId="0" applyFont="1"/>
    <xf borderId="25" fillId="0" fontId="1" numFmtId="0" xfId="0" applyBorder="1" applyFont="1"/>
    <xf borderId="26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0.43"/>
    <col customWidth="1" min="2" max="2" width="6.29"/>
    <col customWidth="1" min="3" max="3" width="11.86"/>
    <col customWidth="1" min="4" max="4" width="48.86"/>
    <col customWidth="1" min="5" max="8" width="16.71"/>
    <col customWidth="1" min="9" max="9" width="22.14"/>
    <col customWidth="1" min="10" max="24" width="10.71"/>
  </cols>
  <sheetData>
    <row r="1" ht="14.25" customHeight="1"/>
    <row r="2" ht="14.25" customHeight="1">
      <c r="C2" s="1"/>
      <c r="D2" s="2"/>
      <c r="E2" s="2"/>
      <c r="F2" s="2"/>
      <c r="G2" s="2"/>
      <c r="H2" s="2"/>
      <c r="I2" s="4"/>
    </row>
    <row r="3" ht="8.25" customHeight="1">
      <c r="C3" s="5"/>
      <c r="I3" s="6"/>
    </row>
    <row r="4" ht="15.75" customHeight="1">
      <c r="C4" s="5"/>
      <c r="I4" s="6"/>
    </row>
    <row r="5" ht="27.75" customHeight="1">
      <c r="C5" s="5"/>
      <c r="E5" s="8" t="s">
        <v>3</v>
      </c>
      <c r="I5" s="6"/>
    </row>
    <row r="6" ht="21.75" customHeight="1">
      <c r="C6" s="5"/>
      <c r="D6" s="11" t="s">
        <v>6</v>
      </c>
      <c r="E6" s="14" t="s">
        <v>8</v>
      </c>
      <c r="F6" s="14" t="s">
        <v>10</v>
      </c>
      <c r="G6" s="14" t="s">
        <v>11</v>
      </c>
      <c r="H6" s="14" t="s">
        <v>12</v>
      </c>
      <c r="I6" s="6"/>
    </row>
    <row r="7" ht="21.75" customHeight="1">
      <c r="C7" s="5"/>
      <c r="D7" s="18" t="s">
        <v>13</v>
      </c>
      <c r="E7" s="19" t="s">
        <v>14</v>
      </c>
      <c r="F7" s="19" t="s">
        <v>15</v>
      </c>
      <c r="G7" s="19" t="s">
        <v>16</v>
      </c>
      <c r="H7" s="19" t="s">
        <v>16</v>
      </c>
      <c r="I7" s="6"/>
    </row>
    <row r="8" ht="21.75" customHeight="1">
      <c r="C8" s="5"/>
      <c r="D8" s="18" t="s">
        <v>17</v>
      </c>
      <c r="E8" s="19" t="s">
        <v>15</v>
      </c>
      <c r="F8" s="19" t="s">
        <v>14</v>
      </c>
      <c r="G8" s="19" t="s">
        <v>16</v>
      </c>
      <c r="H8" s="19" t="s">
        <v>16</v>
      </c>
      <c r="I8" s="6"/>
    </row>
    <row r="9" ht="21.75" customHeight="1">
      <c r="C9" s="5"/>
      <c r="D9" s="18" t="s">
        <v>18</v>
      </c>
      <c r="E9" s="19" t="s">
        <v>16</v>
      </c>
      <c r="F9" s="19" t="s">
        <v>14</v>
      </c>
      <c r="G9" s="19" t="s">
        <v>15</v>
      </c>
      <c r="H9" s="19" t="s">
        <v>20</v>
      </c>
      <c r="I9" s="6"/>
    </row>
    <row r="10" ht="21.75" customHeight="1">
      <c r="C10" s="5"/>
      <c r="D10" s="18" t="s">
        <v>21</v>
      </c>
      <c r="E10" s="19" t="s">
        <v>14</v>
      </c>
      <c r="F10" s="19" t="s">
        <v>15</v>
      </c>
      <c r="G10" s="19" t="s">
        <v>16</v>
      </c>
      <c r="H10" s="19" t="s">
        <v>20</v>
      </c>
      <c r="I10" s="6"/>
    </row>
    <row r="11" ht="21.75" customHeight="1">
      <c r="C11" s="5"/>
      <c r="D11" s="18" t="s">
        <v>22</v>
      </c>
      <c r="E11" s="19" t="s">
        <v>15</v>
      </c>
      <c r="F11" s="19" t="s">
        <v>16</v>
      </c>
      <c r="G11" s="19" t="s">
        <v>20</v>
      </c>
      <c r="H11" s="19" t="s">
        <v>14</v>
      </c>
      <c r="I11" s="6"/>
    </row>
    <row r="12" ht="21.75" customHeight="1">
      <c r="C12" s="5"/>
      <c r="D12" s="18" t="s">
        <v>24</v>
      </c>
      <c r="E12" s="19" t="s">
        <v>14</v>
      </c>
      <c r="F12" s="19" t="s">
        <v>15</v>
      </c>
      <c r="G12" s="19" t="s">
        <v>16</v>
      </c>
      <c r="H12" s="19" t="s">
        <v>16</v>
      </c>
      <c r="I12" s="6"/>
    </row>
    <row r="13" ht="21.75" customHeight="1">
      <c r="C13" s="5"/>
      <c r="D13" s="18" t="s">
        <v>25</v>
      </c>
      <c r="E13" s="19" t="s">
        <v>14</v>
      </c>
      <c r="F13" s="19" t="s">
        <v>15</v>
      </c>
      <c r="G13" s="19" t="s">
        <v>16</v>
      </c>
      <c r="H13" s="19" t="s">
        <v>16</v>
      </c>
      <c r="I13" s="6"/>
    </row>
    <row r="14" ht="21.75" customHeight="1">
      <c r="C14" s="5"/>
      <c r="D14" s="18" t="s">
        <v>26</v>
      </c>
      <c r="E14" s="19" t="s">
        <v>16</v>
      </c>
      <c r="F14" s="19" t="s">
        <v>16</v>
      </c>
      <c r="G14" s="19" t="s">
        <v>14</v>
      </c>
      <c r="H14" s="19" t="s">
        <v>15</v>
      </c>
      <c r="I14" s="6"/>
    </row>
    <row r="15" ht="21.75" customHeight="1">
      <c r="C15" s="5"/>
      <c r="D15" s="18" t="s">
        <v>27</v>
      </c>
      <c r="E15" s="19" t="s">
        <v>14</v>
      </c>
      <c r="F15" s="19" t="s">
        <v>16</v>
      </c>
      <c r="G15" s="19" t="s">
        <v>16</v>
      </c>
      <c r="H15" s="19" t="s">
        <v>15</v>
      </c>
      <c r="I15" s="6"/>
    </row>
    <row r="16" ht="21.75" customHeight="1">
      <c r="C16" s="5"/>
      <c r="D16" s="18" t="s">
        <v>29</v>
      </c>
      <c r="E16" s="19" t="s">
        <v>15</v>
      </c>
      <c r="F16" s="19" t="s">
        <v>16</v>
      </c>
      <c r="G16" s="19" t="s">
        <v>14</v>
      </c>
      <c r="H16" s="19" t="s">
        <v>16</v>
      </c>
      <c r="I16" s="6"/>
    </row>
    <row r="17" ht="21.75" customHeight="1">
      <c r="C17" s="5"/>
      <c r="D17" s="18" t="s">
        <v>30</v>
      </c>
      <c r="E17" s="19" t="s">
        <v>16</v>
      </c>
      <c r="F17" s="19" t="s">
        <v>14</v>
      </c>
      <c r="G17" s="19" t="s">
        <v>16</v>
      </c>
      <c r="H17" s="19" t="s">
        <v>15</v>
      </c>
      <c r="I17" s="6"/>
    </row>
    <row r="18" ht="21.75" customHeight="1">
      <c r="C18" s="5"/>
      <c r="D18" s="18" t="s">
        <v>31</v>
      </c>
      <c r="E18" s="19" t="s">
        <v>20</v>
      </c>
      <c r="F18" s="19" t="s">
        <v>15</v>
      </c>
      <c r="G18" s="19" t="s">
        <v>16</v>
      </c>
      <c r="H18" s="19" t="s">
        <v>14</v>
      </c>
      <c r="I18" s="6"/>
    </row>
    <row r="19" ht="21.75" customHeight="1">
      <c r="C19" s="5"/>
      <c r="D19" s="18" t="s">
        <v>32</v>
      </c>
      <c r="E19" s="19" t="s">
        <v>20</v>
      </c>
      <c r="F19" s="19" t="s">
        <v>15</v>
      </c>
      <c r="G19" s="19" t="s">
        <v>16</v>
      </c>
      <c r="H19" s="19" t="s">
        <v>14</v>
      </c>
      <c r="I19" s="6"/>
    </row>
    <row r="20" ht="21.75" customHeight="1">
      <c r="C20" s="5"/>
      <c r="D20" s="18" t="s">
        <v>33</v>
      </c>
      <c r="E20" s="19" t="s">
        <v>16</v>
      </c>
      <c r="F20" s="19" t="s">
        <v>14</v>
      </c>
      <c r="G20" s="19" t="s">
        <v>15</v>
      </c>
      <c r="H20" s="19" t="s">
        <v>20</v>
      </c>
      <c r="I20" s="6"/>
    </row>
    <row r="21" ht="21.75" customHeight="1">
      <c r="C21" s="5"/>
      <c r="D21" s="18" t="s">
        <v>34</v>
      </c>
      <c r="E21" s="19" t="s">
        <v>20</v>
      </c>
      <c r="F21" s="19" t="s">
        <v>15</v>
      </c>
      <c r="G21" s="19" t="s">
        <v>16</v>
      </c>
      <c r="H21" s="19" t="s">
        <v>14</v>
      </c>
      <c r="I21" s="6"/>
    </row>
    <row r="22" ht="21.75" customHeight="1">
      <c r="C22" s="5"/>
      <c r="D22" s="18" t="s">
        <v>36</v>
      </c>
      <c r="E22" s="19" t="s">
        <v>16</v>
      </c>
      <c r="F22" s="19" t="s">
        <v>14</v>
      </c>
      <c r="G22" s="19" t="s">
        <v>15</v>
      </c>
      <c r="H22" s="19" t="s">
        <v>16</v>
      </c>
      <c r="I22" s="6"/>
    </row>
    <row r="23" ht="21.75" customHeight="1">
      <c r="C23" s="5"/>
      <c r="D23" s="18" t="s">
        <v>38</v>
      </c>
      <c r="E23" s="19" t="s">
        <v>14</v>
      </c>
      <c r="F23" s="19" t="s">
        <v>15</v>
      </c>
      <c r="G23" s="19" t="s">
        <v>16</v>
      </c>
      <c r="H23" s="19" t="s">
        <v>16</v>
      </c>
      <c r="I23" s="6"/>
    </row>
    <row r="24" ht="21.75" customHeight="1">
      <c r="C24" s="5"/>
      <c r="D24" s="18" t="s">
        <v>39</v>
      </c>
      <c r="E24" s="19" t="s">
        <v>14</v>
      </c>
      <c r="F24" s="19" t="s">
        <v>16</v>
      </c>
      <c r="G24" s="19" t="s">
        <v>16</v>
      </c>
      <c r="H24" s="19" t="s">
        <v>15</v>
      </c>
      <c r="I24" s="6"/>
    </row>
    <row r="25" ht="21.75" customHeight="1">
      <c r="C25" s="5"/>
      <c r="D25" s="18" t="s">
        <v>40</v>
      </c>
      <c r="E25" s="19" t="s">
        <v>15</v>
      </c>
      <c r="F25" s="19" t="s">
        <v>20</v>
      </c>
      <c r="G25" s="19" t="s">
        <v>14</v>
      </c>
      <c r="H25" s="19" t="s">
        <v>16</v>
      </c>
      <c r="I25" s="6"/>
    </row>
    <row r="26" ht="21.75" customHeight="1">
      <c r="C26" s="5"/>
      <c r="D26" s="18" t="s">
        <v>41</v>
      </c>
      <c r="E26" s="19" t="s">
        <v>14</v>
      </c>
      <c r="F26" s="19" t="s">
        <v>16</v>
      </c>
      <c r="G26" s="19" t="s">
        <v>16</v>
      </c>
      <c r="H26" s="19" t="s">
        <v>15</v>
      </c>
      <c r="I26" s="6"/>
    </row>
    <row r="27" ht="21.75" customHeight="1">
      <c r="C27" s="5"/>
      <c r="D27" s="18" t="s">
        <v>42</v>
      </c>
      <c r="E27" s="19" t="s">
        <v>14</v>
      </c>
      <c r="F27" s="19" t="s">
        <v>15</v>
      </c>
      <c r="G27" s="19" t="s">
        <v>16</v>
      </c>
      <c r="H27" s="19" t="s">
        <v>16</v>
      </c>
      <c r="I27" s="6"/>
    </row>
    <row r="28" ht="21.75" customHeight="1">
      <c r="C28" s="5"/>
      <c r="D28" s="18" t="s">
        <v>44</v>
      </c>
      <c r="E28" s="19" t="s">
        <v>15</v>
      </c>
      <c r="F28" s="19" t="s">
        <v>14</v>
      </c>
      <c r="G28" s="19" t="s">
        <v>16</v>
      </c>
      <c r="H28" s="19" t="s">
        <v>16</v>
      </c>
      <c r="I28" s="6"/>
    </row>
    <row r="29" ht="21.75" customHeight="1">
      <c r="C29" s="5"/>
      <c r="D29" s="18" t="s">
        <v>46</v>
      </c>
      <c r="E29" s="19" t="s">
        <v>14</v>
      </c>
      <c r="F29" s="19" t="s">
        <v>15</v>
      </c>
      <c r="G29" s="19" t="s">
        <v>16</v>
      </c>
      <c r="H29" s="19" t="s">
        <v>16</v>
      </c>
      <c r="I29" s="6"/>
    </row>
    <row r="30" ht="21.75" customHeight="1">
      <c r="C30" s="5"/>
      <c r="D30" s="18" t="s">
        <v>47</v>
      </c>
      <c r="E30" s="19" t="s">
        <v>16</v>
      </c>
      <c r="F30" s="19" t="s">
        <v>16</v>
      </c>
      <c r="G30" s="19" t="s">
        <v>14</v>
      </c>
      <c r="H30" s="19" t="s">
        <v>15</v>
      </c>
      <c r="I30" s="6"/>
    </row>
    <row r="31" ht="21.75" customHeight="1">
      <c r="C31" s="5"/>
      <c r="D31" s="18" t="s">
        <v>48</v>
      </c>
      <c r="E31" s="19" t="s">
        <v>16</v>
      </c>
      <c r="F31" s="19" t="s">
        <v>16</v>
      </c>
      <c r="G31" s="19" t="s">
        <v>15</v>
      </c>
      <c r="H31" s="19" t="s">
        <v>14</v>
      </c>
      <c r="I31" s="6"/>
    </row>
    <row r="32" ht="21.75" customHeight="1">
      <c r="C32" s="5"/>
      <c r="D32" s="18" t="s">
        <v>50</v>
      </c>
      <c r="E32" s="19" t="s">
        <v>16</v>
      </c>
      <c r="F32" s="19" t="s">
        <v>16</v>
      </c>
      <c r="G32" s="19" t="s">
        <v>15</v>
      </c>
      <c r="H32" s="19" t="s">
        <v>14</v>
      </c>
      <c r="I32" s="6"/>
    </row>
    <row r="33" ht="21.75" customHeight="1">
      <c r="C33" s="5"/>
      <c r="D33" s="18" t="s">
        <v>51</v>
      </c>
      <c r="E33" s="19" t="s">
        <v>16</v>
      </c>
      <c r="F33" s="19" t="s">
        <v>16</v>
      </c>
      <c r="G33" s="19" t="s">
        <v>14</v>
      </c>
      <c r="H33" s="19" t="s">
        <v>15</v>
      </c>
      <c r="I33" s="6"/>
    </row>
    <row r="34" ht="21.75" customHeight="1">
      <c r="C34" s="5"/>
      <c r="D34" s="18" t="s">
        <v>53</v>
      </c>
      <c r="E34" s="19" t="s">
        <v>15</v>
      </c>
      <c r="F34" s="19" t="s">
        <v>14</v>
      </c>
      <c r="G34" s="19" t="s">
        <v>16</v>
      </c>
      <c r="H34" s="19" t="s">
        <v>16</v>
      </c>
      <c r="I34" s="6"/>
    </row>
    <row r="35" ht="21.75" customHeight="1">
      <c r="C35" s="5"/>
      <c r="D35" s="18" t="s">
        <v>54</v>
      </c>
      <c r="E35" s="19" t="s">
        <v>14</v>
      </c>
      <c r="F35" s="19" t="s">
        <v>15</v>
      </c>
      <c r="G35" s="19" t="s">
        <v>16</v>
      </c>
      <c r="H35" s="19" t="s">
        <v>16</v>
      </c>
      <c r="I35" s="6"/>
    </row>
    <row r="36" ht="21.75" customHeight="1">
      <c r="C36" s="5"/>
      <c r="D36" s="18" t="s">
        <v>55</v>
      </c>
      <c r="E36" s="19" t="s">
        <v>20</v>
      </c>
      <c r="F36" s="19" t="s">
        <v>16</v>
      </c>
      <c r="G36" s="19" t="s">
        <v>14</v>
      </c>
      <c r="H36" s="19" t="s">
        <v>15</v>
      </c>
      <c r="I36" s="6"/>
    </row>
    <row r="37" ht="21.75" customHeight="1">
      <c r="C37" s="5"/>
      <c r="D37" s="18" t="s">
        <v>56</v>
      </c>
      <c r="E37" s="19" t="s">
        <v>20</v>
      </c>
      <c r="F37" s="19" t="s">
        <v>16</v>
      </c>
      <c r="G37" s="19" t="s">
        <v>14</v>
      </c>
      <c r="H37" s="19" t="s">
        <v>15</v>
      </c>
      <c r="I37" s="6"/>
    </row>
    <row r="38" ht="21.75" customHeight="1">
      <c r="C38" s="5"/>
      <c r="D38" s="18" t="s">
        <v>57</v>
      </c>
      <c r="E38" s="19" t="s">
        <v>20</v>
      </c>
      <c r="F38" s="19" t="s">
        <v>16</v>
      </c>
      <c r="G38" s="19" t="s">
        <v>14</v>
      </c>
      <c r="H38" s="19" t="s">
        <v>15</v>
      </c>
      <c r="I38" s="6"/>
    </row>
    <row r="39" ht="21.75" customHeight="1">
      <c r="C39" s="5"/>
      <c r="D39" s="18" t="s">
        <v>58</v>
      </c>
      <c r="E39" s="19" t="s">
        <v>20</v>
      </c>
      <c r="F39" s="19" t="s">
        <v>16</v>
      </c>
      <c r="G39" s="19" t="s">
        <v>15</v>
      </c>
      <c r="H39" s="19" t="s">
        <v>14</v>
      </c>
      <c r="I39" s="6"/>
    </row>
    <row r="40" ht="21.75" customHeight="1">
      <c r="C40" s="5"/>
      <c r="D40" s="18" t="s">
        <v>59</v>
      </c>
      <c r="E40" s="19" t="s">
        <v>14</v>
      </c>
      <c r="F40" s="19" t="s">
        <v>15</v>
      </c>
      <c r="G40" s="19" t="s">
        <v>16</v>
      </c>
      <c r="H40" s="19" t="s">
        <v>16</v>
      </c>
      <c r="I40" s="6"/>
    </row>
    <row r="41" ht="24.0" customHeight="1">
      <c r="C41" s="5"/>
      <c r="D41" s="35" t="s">
        <v>60</v>
      </c>
      <c r="E41" s="19" t="s">
        <v>16</v>
      </c>
      <c r="F41" s="19" t="s">
        <v>14</v>
      </c>
      <c r="G41" s="19" t="s">
        <v>16</v>
      </c>
      <c r="H41" s="19" t="s">
        <v>15</v>
      </c>
      <c r="I41" s="6"/>
    </row>
    <row r="42" ht="22.5" customHeight="1">
      <c r="C42" s="5"/>
      <c r="D42" s="35" t="s">
        <v>61</v>
      </c>
      <c r="E42" s="19" t="s">
        <v>20</v>
      </c>
      <c r="F42" s="19" t="s">
        <v>16</v>
      </c>
      <c r="G42" s="19" t="s">
        <v>15</v>
      </c>
      <c r="H42" s="19" t="s">
        <v>14</v>
      </c>
      <c r="I42" s="6"/>
    </row>
    <row r="43" ht="20.25" customHeight="1">
      <c r="C43" s="5"/>
      <c r="D43" s="35" t="s">
        <v>62</v>
      </c>
      <c r="E43" s="19" t="s">
        <v>15</v>
      </c>
      <c r="F43" s="19" t="s">
        <v>20</v>
      </c>
      <c r="G43" s="19" t="s">
        <v>14</v>
      </c>
      <c r="H43" s="19" t="s">
        <v>16</v>
      </c>
      <c r="I43" s="6"/>
    </row>
    <row r="44" ht="20.25" customHeight="1">
      <c r="C44" s="5"/>
      <c r="D44" s="35" t="s">
        <v>63</v>
      </c>
      <c r="E44" s="19" t="s">
        <v>15</v>
      </c>
      <c r="F44" s="19" t="s">
        <v>20</v>
      </c>
      <c r="G44" s="19" t="s">
        <v>14</v>
      </c>
      <c r="H44" s="19" t="s">
        <v>16</v>
      </c>
      <c r="I44" s="6"/>
    </row>
    <row r="45" ht="20.25" customHeight="1">
      <c r="C45" s="5"/>
      <c r="D45" s="35" t="s">
        <v>64</v>
      </c>
      <c r="E45" s="19" t="s">
        <v>20</v>
      </c>
      <c r="F45" s="19" t="s">
        <v>14</v>
      </c>
      <c r="G45" s="19" t="s">
        <v>16</v>
      </c>
      <c r="H45" s="19" t="s">
        <v>15</v>
      </c>
      <c r="I45" s="6"/>
    </row>
    <row r="46" ht="20.25" customHeight="1">
      <c r="C46" s="5"/>
      <c r="D46" s="35" t="s">
        <v>65</v>
      </c>
      <c r="E46" s="19" t="s">
        <v>14</v>
      </c>
      <c r="F46" s="19" t="s">
        <v>15</v>
      </c>
      <c r="G46" s="19" t="s">
        <v>16</v>
      </c>
      <c r="H46" s="19" t="s">
        <v>16</v>
      </c>
      <c r="I46" s="6"/>
    </row>
    <row r="47" ht="14.25" customHeight="1">
      <c r="C47" s="5"/>
      <c r="I47" s="6"/>
    </row>
    <row r="48" ht="14.25" customHeight="1">
      <c r="C48" s="5"/>
      <c r="I48" s="6"/>
    </row>
    <row r="49" ht="14.25" customHeight="1">
      <c r="C49" s="5"/>
      <c r="I49" s="6"/>
    </row>
    <row r="50" ht="14.25" customHeight="1">
      <c r="C50" s="5"/>
      <c r="D50" s="36" t="s">
        <v>66</v>
      </c>
      <c r="E50" s="37" t="s">
        <v>67</v>
      </c>
      <c r="F50" s="28"/>
      <c r="I50" s="6"/>
    </row>
    <row r="51" ht="14.25" customHeight="1">
      <c r="C51" s="5"/>
      <c r="D51" s="38"/>
      <c r="E51" s="39" t="s">
        <v>68</v>
      </c>
      <c r="F51" s="28"/>
      <c r="I51" s="6"/>
    </row>
    <row r="52" ht="14.25" customHeight="1">
      <c r="C52" s="5"/>
      <c r="D52" s="38"/>
      <c r="E52" s="37" t="s">
        <v>69</v>
      </c>
      <c r="F52" s="28"/>
      <c r="I52" s="6"/>
    </row>
    <row r="53" ht="14.25" customHeight="1">
      <c r="C53" s="5"/>
      <c r="D53" s="40"/>
      <c r="E53" s="37" t="s">
        <v>70</v>
      </c>
      <c r="F53" s="28"/>
      <c r="I53" s="6"/>
    </row>
    <row r="54" ht="14.25" customHeight="1">
      <c r="C54" s="5"/>
      <c r="E54" s="41"/>
      <c r="I54" s="6"/>
    </row>
    <row r="55" ht="14.25" customHeight="1">
      <c r="C55" s="42"/>
      <c r="D55" s="43"/>
      <c r="E55" s="43"/>
      <c r="F55" s="43"/>
      <c r="G55" s="43"/>
      <c r="H55" s="43"/>
      <c r="I55" s="43"/>
    </row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7">
    <mergeCell ref="C2:I2"/>
    <mergeCell ref="E5:H5"/>
    <mergeCell ref="D50:D53"/>
    <mergeCell ref="E50:F50"/>
    <mergeCell ref="E51:F51"/>
    <mergeCell ref="E52:F52"/>
    <mergeCell ref="E53:F5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0.43"/>
    <col customWidth="1" min="4" max="4" width="38.29"/>
    <col customWidth="1" min="5" max="5" width="26.71"/>
    <col customWidth="1" min="6" max="6" width="19.57"/>
    <col customWidth="1" min="7" max="8" width="10.71"/>
    <col customWidth="1" min="9" max="9" width="34.86"/>
    <col customWidth="1" min="10" max="26" width="10.71"/>
  </cols>
  <sheetData>
    <row r="1" ht="14.25" customHeight="1">
      <c r="D1" s="3" t="s">
        <v>0</v>
      </c>
      <c r="E1" s="2"/>
      <c r="F1" s="2"/>
      <c r="G1" s="2"/>
      <c r="H1" s="2"/>
      <c r="I1" s="4"/>
    </row>
    <row r="2" ht="14.25" customHeight="1">
      <c r="D2" s="7" t="s">
        <v>2</v>
      </c>
      <c r="E2" s="10" t="s">
        <v>5</v>
      </c>
      <c r="F2" s="12"/>
      <c r="G2" s="15" t="s">
        <v>9</v>
      </c>
      <c r="H2" s="16"/>
      <c r="I2" s="17"/>
    </row>
    <row r="3" ht="133.5" customHeight="1">
      <c r="D3" s="21" t="str">
        <f>Responsabilidades!E6</f>
        <v>Melanie Ortiz</v>
      </c>
      <c r="E3" s="24" t="s">
        <v>19</v>
      </c>
      <c r="F3" s="25"/>
      <c r="G3" s="26" t="s">
        <v>23</v>
      </c>
      <c r="H3" s="27"/>
      <c r="I3" s="28"/>
    </row>
    <row r="4" ht="133.5" customHeight="1">
      <c r="D4" s="21" t="str">
        <f>Responsabilidades!F6</f>
        <v>Paul Hidalgo</v>
      </c>
      <c r="E4" s="24" t="s">
        <v>35</v>
      </c>
      <c r="F4" s="25"/>
      <c r="G4" s="26" t="s">
        <v>37</v>
      </c>
      <c r="H4" s="27"/>
      <c r="I4" s="28"/>
    </row>
    <row r="5" ht="133.5" customHeight="1">
      <c r="D5" s="21" t="str">
        <f>Responsabilidades!G6</f>
        <v>Héctor Cornejo</v>
      </c>
      <c r="E5" s="24" t="s">
        <v>43</v>
      </c>
      <c r="F5" s="25"/>
      <c r="G5" s="26" t="s">
        <v>45</v>
      </c>
      <c r="H5" s="27"/>
      <c r="I5" s="28"/>
    </row>
    <row r="6" ht="133.5" customHeight="1">
      <c r="D6" s="31" t="s">
        <v>12</v>
      </c>
      <c r="E6" s="24" t="s">
        <v>49</v>
      </c>
      <c r="F6" s="25"/>
      <c r="G6" s="26" t="s">
        <v>52</v>
      </c>
      <c r="H6" s="27"/>
      <c r="I6" s="28"/>
    </row>
    <row r="7" ht="75.0" customHeight="1">
      <c r="D7" s="32"/>
      <c r="E7" s="33"/>
      <c r="G7" s="34"/>
    </row>
    <row r="8" ht="107.25" customHeight="1">
      <c r="D8" s="32"/>
      <c r="E8" s="33"/>
      <c r="G8" s="34"/>
    </row>
    <row r="9" ht="85.5" customHeight="1">
      <c r="D9" s="32"/>
      <c r="E9" s="33"/>
      <c r="G9" s="34"/>
    </row>
    <row r="10" ht="96.0" customHeight="1">
      <c r="D10" s="32"/>
      <c r="E10" s="33"/>
      <c r="G10" s="34"/>
    </row>
    <row r="11" ht="96.0" customHeight="1">
      <c r="D11" s="32"/>
      <c r="E11" s="33"/>
      <c r="G11" s="34"/>
    </row>
    <row r="12" ht="96.0" customHeight="1">
      <c r="D12" s="32"/>
      <c r="E12" s="33"/>
      <c r="G12" s="34"/>
    </row>
    <row r="13" ht="96.0" customHeight="1">
      <c r="D13" s="32"/>
      <c r="E13" s="33"/>
      <c r="G13" s="34"/>
    </row>
    <row r="14" ht="15.0" customHeight="1"/>
    <row r="15" ht="12.7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</sheetData>
  <mergeCells count="24">
    <mergeCell ref="G6:I6"/>
    <mergeCell ref="G7:I7"/>
    <mergeCell ref="G8:I8"/>
    <mergeCell ref="G9:I9"/>
    <mergeCell ref="G10:I10"/>
    <mergeCell ref="G11:I11"/>
    <mergeCell ref="G12:I12"/>
    <mergeCell ref="G13:I13"/>
    <mergeCell ref="D1:I1"/>
    <mergeCell ref="G2:I2"/>
    <mergeCell ref="E3:F3"/>
    <mergeCell ref="G3:I3"/>
    <mergeCell ref="E4:F4"/>
    <mergeCell ref="G4:I4"/>
    <mergeCell ref="G5:I5"/>
    <mergeCell ref="E12:F12"/>
    <mergeCell ref="E13:F13"/>
    <mergeCell ref="E5:F5"/>
    <mergeCell ref="E6:F6"/>
    <mergeCell ref="E7:F7"/>
    <mergeCell ref="E8:F8"/>
    <mergeCell ref="E9:F9"/>
    <mergeCell ref="E10:F10"/>
    <mergeCell ref="E11:F11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5.57"/>
    <col customWidth="1" min="2" max="2" width="23.57"/>
    <col customWidth="1" min="3" max="3" width="22.29"/>
    <col customWidth="1" min="5" max="25" width="10.71"/>
  </cols>
  <sheetData>
    <row r="1" ht="14.25" customHeight="1"/>
    <row r="2" ht="14.25" customHeight="1"/>
    <row r="3" ht="14.25" customHeight="1">
      <c r="B3" s="3" t="s">
        <v>1</v>
      </c>
      <c r="C3" s="2"/>
      <c r="D3" s="4"/>
    </row>
    <row r="4" ht="14.25" customHeight="1">
      <c r="B4" s="7" t="s">
        <v>2</v>
      </c>
      <c r="C4" s="9" t="s">
        <v>4</v>
      </c>
      <c r="D4" s="13" t="s">
        <v>7</v>
      </c>
    </row>
    <row r="5" ht="14.25" customHeight="1">
      <c r="B5" s="20" t="str">
        <f>Responsabilidades!E6</f>
        <v>Melanie Ortiz</v>
      </c>
      <c r="C5" s="22">
        <v>4.0</v>
      </c>
      <c r="D5" s="23">
        <v>528.0</v>
      </c>
    </row>
    <row r="6" ht="14.25" customHeight="1">
      <c r="B6" s="20" t="str">
        <f>Responsabilidades!F6</f>
        <v>Paul Hidalgo</v>
      </c>
      <c r="C6" s="22">
        <v>4.0</v>
      </c>
      <c r="D6" s="23">
        <v>532.0</v>
      </c>
    </row>
    <row r="7" ht="14.25" customHeight="1">
      <c r="B7" s="20" t="str">
        <f>Responsabilidades!G6</f>
        <v>Héctor Cornejo</v>
      </c>
      <c r="C7" s="22">
        <v>4.0</v>
      </c>
      <c r="D7" s="23">
        <v>530.0</v>
      </c>
    </row>
    <row r="8" ht="14.25" customHeight="1">
      <c r="B8" s="20" t="str">
        <f>Responsabilidades!H6</f>
        <v>Angel Rengifo</v>
      </c>
      <c r="C8" s="22">
        <v>4.0</v>
      </c>
      <c r="D8" s="23">
        <v>551.0</v>
      </c>
    </row>
    <row r="9" ht="14.25" customHeight="1">
      <c r="C9" s="29" t="s">
        <v>28</v>
      </c>
      <c r="D9" s="30">
        <f>SUM(D5:D8)</f>
        <v>2141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3:D3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2019-05-29T12:47:45Z</dcterms:created>
  <dc:creator>Marco Perelli</dc:creator>
</cp:coreProperties>
</file>