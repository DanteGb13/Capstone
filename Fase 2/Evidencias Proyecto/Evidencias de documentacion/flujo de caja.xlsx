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jo presupuesto" sheetId="1" r:id="rId4"/>
    <sheet state="visible" name="Mediano Presupuesto" sheetId="2" r:id="rId5"/>
    <sheet state="visible" name="Alto presupuesto" sheetId="3" r:id="rId6"/>
  </sheets>
  <definedNames/>
  <calcPr/>
  <extLst>
    <ext uri="GoogleSheetsCustomDataVersion2">
      <go:sheetsCustomData xmlns:go="http://customooxmlschemas.google.com/" r:id="rId7" roundtripDataChecksum="/N0DOotRroRxs/DsDw3pNEBZtfXdGDVMfI5PYFd/M3M="/>
    </ext>
  </extLst>
</workbook>
</file>

<file path=xl/sharedStrings.xml><?xml version="1.0" encoding="utf-8"?>
<sst xmlns="http://schemas.openxmlformats.org/spreadsheetml/2006/main" count="166" uniqueCount="64">
  <si>
    <t>Datos</t>
  </si>
  <si>
    <t>Tasa de descuento</t>
  </si>
  <si>
    <t>Impuesto</t>
  </si>
  <si>
    <t>Costo administración desarrollo</t>
  </si>
  <si>
    <t>Costo administración 1° año</t>
  </si>
  <si>
    <t>Costo administración 2° año</t>
  </si>
  <si>
    <t>Costo administración 3° y 4° año</t>
  </si>
  <si>
    <t>Costo administración 5° año</t>
  </si>
  <si>
    <t>Maquinaria inicial</t>
  </si>
  <si>
    <t>Servicios iniciales</t>
  </si>
  <si>
    <t>Inversión inicial total</t>
  </si>
  <si>
    <t>Año 0</t>
  </si>
  <si>
    <t>Año 1</t>
  </si>
  <si>
    <t>Año 2</t>
  </si>
  <si>
    <t>Año 3</t>
  </si>
  <si>
    <t>Año 4</t>
  </si>
  <si>
    <t>Año 5</t>
  </si>
  <si>
    <t>(+) Ingresos de la operación</t>
  </si>
  <si>
    <t>(-) Operación y comercializacion</t>
  </si>
  <si>
    <t>(-) Administración</t>
  </si>
  <si>
    <t>(-) Depreciacion</t>
  </si>
  <si>
    <t>(-) Amortización</t>
  </si>
  <si>
    <t>Utilidad antes de impuesto</t>
  </si>
  <si>
    <t>(-) Impuestos</t>
  </si>
  <si>
    <t>Utilidad neta</t>
  </si>
  <si>
    <t>(+) Depreciación</t>
  </si>
  <si>
    <t>(+) Amortización</t>
  </si>
  <si>
    <t>(-) Inversión (Activos)</t>
  </si>
  <si>
    <t>Flujo de caja</t>
  </si>
  <si>
    <t>Total</t>
  </si>
  <si>
    <t>Año</t>
  </si>
  <si>
    <t>Cantidad Cuidadores</t>
  </si>
  <si>
    <t>Cantidad Adultos Mayores</t>
  </si>
  <si>
    <t>ROI</t>
  </si>
  <si>
    <t>Ingresos anuales total</t>
  </si>
  <si>
    <t>Costos mensuales</t>
  </si>
  <si>
    <t>Costos Anuales</t>
  </si>
  <si>
    <t>Van</t>
  </si>
  <si>
    <t>Depreciacion</t>
  </si>
  <si>
    <t>Valor inicial</t>
  </si>
  <si>
    <t>Valor residual</t>
  </si>
  <si>
    <t xml:space="preserve">Años </t>
  </si>
  <si>
    <t>valor inicial-valor residual</t>
  </si>
  <si>
    <t>Depreciacion x año</t>
  </si>
  <si>
    <t>Tir</t>
  </si>
  <si>
    <t>Cantidad Cuidadores plan mensual</t>
  </si>
  <si>
    <t>Precio plan mensual</t>
  </si>
  <si>
    <t>Total Mensual plan mensual</t>
  </si>
  <si>
    <t>Total Anual plan mensual</t>
  </si>
  <si>
    <t>Cantidad usuarios plan anual</t>
  </si>
  <si>
    <t>Precio plan anual</t>
  </si>
  <si>
    <t>Total anual plan anual</t>
  </si>
  <si>
    <t>Cantidad plan mensual instituciones</t>
  </si>
  <si>
    <t>Precio plan mensual instituciones</t>
  </si>
  <si>
    <t>Total mensual plan mensual instituciones</t>
  </si>
  <si>
    <t>Total anual plan mensual instituciones</t>
  </si>
  <si>
    <t>Cantidad plan anual instituciones</t>
  </si>
  <si>
    <t>Precio plan anual instituciones</t>
  </si>
  <si>
    <t>Total anual plan anual instituciones</t>
  </si>
  <si>
    <t>Costos por pasarela de pago debito</t>
  </si>
  <si>
    <t>Costos por pasarela de pago credito</t>
  </si>
  <si>
    <t>Cantidad reloj comprados con codigo</t>
  </si>
  <si>
    <t>Precio aprox. reloj</t>
  </si>
  <si>
    <t>Comisión 5% por reloj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</si>
</sst>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$]#,##0"/>
    <numFmt numFmtId="165" formatCode="0.0%"/>
    <numFmt numFmtId="166" formatCode="&quot;$&quot;#,##0;[Red]&quot;$&quot;\-#,##0"/>
  </numFmts>
  <fonts count="9">
    <font>
      <sz val="11.0"/>
      <color theme="1"/>
      <name val="Calibri"/>
      <scheme val="minor"/>
    </font>
    <font>
      <b/>
      <i/>
      <sz val="14.0"/>
      <color rgb="FF000000"/>
      <name val="Arial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  <font>
      <sz val="11.0"/>
      <color rgb="FF000000"/>
      <name val="Calibri"/>
    </font>
    <font>
      <b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EFE1E7"/>
        <bgColor rgb="FFEFE1E7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/>
    </xf>
    <xf borderId="0" fillId="0" fontId="4" numFmtId="0" xfId="0" applyFont="1"/>
    <xf borderId="4" fillId="3" fontId="4" numFmtId="0" xfId="0" applyBorder="1" applyFill="1" applyFont="1"/>
    <xf borderId="4" fillId="0" fontId="4" numFmtId="0" xfId="0" applyAlignment="1" applyBorder="1" applyFont="1">
      <alignment readingOrder="0"/>
    </xf>
    <xf borderId="4" fillId="0" fontId="4" numFmtId="9" xfId="0" applyAlignment="1" applyBorder="1" applyFont="1" applyNumberFormat="1">
      <alignment readingOrder="0"/>
    </xf>
    <xf borderId="0" fillId="0" fontId="5" numFmtId="164" xfId="0" applyFont="1" applyNumberFormat="1"/>
    <xf borderId="4" fillId="0" fontId="4" numFmtId="165" xfId="0" applyAlignment="1" applyBorder="1" applyFont="1" applyNumberFormat="1">
      <alignment readingOrder="0"/>
    </xf>
    <xf borderId="4" fillId="3" fontId="4" numFmtId="0" xfId="0" applyAlignment="1" applyBorder="1" applyFill="1" applyFont="1">
      <alignment readingOrder="0"/>
    </xf>
    <xf borderId="4" fillId="0" fontId="4" numFmtId="166" xfId="0" applyBorder="1" applyFont="1" applyNumberFormat="1"/>
    <xf borderId="4" fillId="0" fontId="4" numFmtId="166" xfId="0" applyAlignment="1" applyBorder="1" applyFont="1" applyNumberFormat="1">
      <alignment readingOrder="0"/>
    </xf>
    <xf borderId="4" fillId="0" fontId="6" numFmtId="166" xfId="0" applyAlignment="1" applyBorder="1" applyFont="1" applyNumberFormat="1">
      <alignment readingOrder="0"/>
    </xf>
    <xf borderId="4" fillId="2" fontId="3" numFmtId="0" xfId="0" applyBorder="1" applyFill="1" applyFont="1"/>
    <xf borderId="4" fillId="0" fontId="4" numFmtId="0" xfId="0" applyBorder="1" applyFont="1"/>
    <xf borderId="0" fillId="0" fontId="4" numFmtId="166" xfId="0" applyFont="1" applyNumberFormat="1"/>
    <xf borderId="0" fillId="0" fontId="4" numFmtId="9" xfId="0" applyFont="1" applyNumberFormat="1"/>
    <xf borderId="4" fillId="2" fontId="7" numFmtId="0" xfId="0" applyBorder="1" applyFill="1" applyFont="1"/>
    <xf borderId="4" fillId="2" fontId="7" numFmtId="166" xfId="0" applyBorder="1" applyFill="1" applyFont="1" applyNumberFormat="1"/>
    <xf borderId="4" fillId="2" fontId="3" numFmtId="0" xfId="0" applyAlignment="1" applyBorder="1" applyFill="1" applyFont="1">
      <alignment horizontal="center"/>
    </xf>
    <xf borderId="4" fillId="2" fontId="3" numFmtId="0" xfId="0" applyAlignment="1" applyBorder="1" applyFill="1" applyFont="1">
      <alignment readingOrder="0"/>
    </xf>
    <xf borderId="4" fillId="3" fontId="5" numFmtId="0" xfId="0" applyBorder="1" applyFill="1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4" fillId="0" fontId="4" numFmtId="3" xfId="0" applyAlignment="1" applyBorder="1" applyFont="1" applyNumberFormat="1">
      <alignment readingOrder="0"/>
    </xf>
    <xf borderId="4" fillId="0" fontId="5" numFmtId="164" xfId="0" applyAlignment="1" applyBorder="1" applyFont="1" applyNumberFormat="1">
      <alignment readingOrder="0"/>
    </xf>
    <xf borderId="4" fillId="0" fontId="5" numFmtId="10" xfId="0" applyBorder="1" applyFont="1" applyNumberFormat="1"/>
    <xf borderId="4" fillId="0" fontId="5" numFmtId="164" xfId="0" applyBorder="1" applyFont="1" applyNumberFormat="1"/>
    <xf borderId="0" fillId="0" fontId="4" numFmtId="166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4" fillId="0" fontId="4" numFmtId="1" xfId="0" applyAlignment="1" applyBorder="1" applyFont="1" applyNumberFormat="1">
      <alignment readingOrder="0"/>
    </xf>
    <xf borderId="0" fillId="0" fontId="8" numFmtId="164" xfId="0" applyFont="1" applyNumberFormat="1"/>
    <xf borderId="4" fillId="0" fontId="4" numFmtId="10" xfId="0" applyBorder="1" applyFont="1" applyNumberFormat="1"/>
    <xf borderId="4" fillId="2" fontId="7" numFmtId="0" xfId="0" applyAlignment="1" applyBorder="1" applyFill="1" applyFont="1">
      <alignment readingOrder="0"/>
    </xf>
    <xf borderId="4" fillId="2" fontId="3" numFmtId="0" xfId="0" applyAlignment="1" applyBorder="1" applyFill="1" applyFont="1">
      <alignment readingOrder="0" vertical="bottom"/>
    </xf>
    <xf borderId="4" fillId="0" fontId="4" numFmtId="164" xfId="0" applyAlignment="1" applyBorder="1" applyFont="1" applyNumberFormat="1">
      <alignment readingOrder="0"/>
    </xf>
    <xf borderId="4" fillId="0" fontId="4" numFmtId="164" xfId="0" applyBorder="1" applyFont="1" applyNumberForma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31.29"/>
    <col customWidth="1" min="3" max="3" width="38.71"/>
    <col customWidth="1" min="4" max="4" width="25.57"/>
    <col customWidth="1" min="5" max="5" width="23.43"/>
    <col customWidth="1" min="6" max="6" width="26.57"/>
    <col customWidth="1" min="7" max="7" width="25.57"/>
    <col customWidth="1" min="8" max="8" width="25.0"/>
    <col customWidth="1" min="9" max="9" width="21.71"/>
    <col customWidth="1" min="10" max="10" width="17.14"/>
    <col customWidth="1" min="11" max="11" width="14.0"/>
    <col customWidth="1" min="12" max="12" width="31.71"/>
    <col customWidth="1" min="13" max="13" width="32.14"/>
    <col customWidth="1" min="14" max="14" width="15.57"/>
    <col customWidth="1" min="15" max="27" width="10.71"/>
  </cols>
  <sheetData>
    <row r="1" ht="14.25" customHeight="1">
      <c r="A1" s="1"/>
      <c r="B1" s="2"/>
      <c r="C1" s="2"/>
      <c r="D1" s="3"/>
    </row>
    <row r="2" ht="14.25" customHeight="1"/>
    <row r="3" ht="14.25" customHeight="1">
      <c r="A3" s="4" t="s">
        <v>0</v>
      </c>
      <c r="B3" s="3"/>
      <c r="O3" s="5"/>
      <c r="P3" s="5"/>
      <c r="Q3" s="5"/>
    </row>
    <row r="4" ht="14.25" customHeight="1">
      <c r="A4" s="6" t="s">
        <v>1</v>
      </c>
      <c r="B4" s="8">
        <v>0.0</v>
      </c>
      <c r="D4" s="9"/>
      <c r="O4" s="5"/>
      <c r="P4" s="5"/>
      <c r="Q4" s="5"/>
    </row>
    <row r="5" ht="14.25" customHeight="1">
      <c r="A5" s="6" t="s">
        <v>2</v>
      </c>
      <c r="B5" s="10">
        <v>0.0</v>
      </c>
      <c r="O5" s="5"/>
      <c r="P5" s="5"/>
      <c r="Q5" s="5"/>
    </row>
    <row r="6" ht="14.25" customHeight="1">
      <c r="A6" s="11" t="s">
        <v>3</v>
      </c>
      <c r="B6" s="12">
        <f>0</f>
        <v>0</v>
      </c>
      <c r="O6" s="5"/>
      <c r="P6" s="5"/>
      <c r="Q6" s="5"/>
    </row>
    <row r="7" ht="14.25" customHeight="1">
      <c r="A7" s="11" t="s">
        <v>4</v>
      </c>
      <c r="B7" s="13">
        <v>0.0</v>
      </c>
      <c r="O7" s="5"/>
      <c r="P7" s="5"/>
      <c r="Q7" s="5"/>
    </row>
    <row r="8" ht="14.25" customHeight="1">
      <c r="A8" s="11" t="s">
        <v>5</v>
      </c>
      <c r="B8" s="13">
        <v>0.0</v>
      </c>
      <c r="O8" s="5"/>
      <c r="P8" s="5"/>
      <c r="Q8" s="5"/>
    </row>
    <row r="9" ht="14.25" customHeight="1">
      <c r="A9" s="6" t="s">
        <v>6</v>
      </c>
      <c r="B9" s="13">
        <v>0.0</v>
      </c>
      <c r="O9" s="5"/>
      <c r="P9" s="5"/>
      <c r="Q9" s="5"/>
    </row>
    <row r="10" ht="14.25" customHeight="1">
      <c r="A10" s="6" t="s">
        <v>7</v>
      </c>
      <c r="B10" s="13">
        <v>0.0</v>
      </c>
      <c r="O10" s="5"/>
      <c r="P10" s="5"/>
      <c r="Q10" s="5"/>
    </row>
    <row r="11" ht="14.25" customHeight="1">
      <c r="A11" s="6" t="s">
        <v>8</v>
      </c>
      <c r="B11" s="13">
        <v>0.0</v>
      </c>
      <c r="O11" s="5"/>
      <c r="P11" s="5"/>
    </row>
    <row r="12" ht="14.25" customHeight="1">
      <c r="A12" s="6" t="s">
        <v>9</v>
      </c>
      <c r="B12" s="14">
        <v>0.0</v>
      </c>
      <c r="O12" s="5"/>
      <c r="P12" s="5"/>
    </row>
    <row r="13" ht="14.25" customHeight="1">
      <c r="A13" s="6" t="s">
        <v>10</v>
      </c>
      <c r="B13" s="12">
        <f>B11+B12</f>
        <v>0</v>
      </c>
      <c r="O13" s="5"/>
      <c r="P13" s="5"/>
    </row>
    <row r="14" ht="14.25" customHeight="1"/>
    <row r="15" ht="14.25" customHeight="1"/>
    <row r="16" ht="14.25" customHeight="1">
      <c r="A16" s="5"/>
      <c r="B16" s="15" t="s">
        <v>11</v>
      </c>
      <c r="C16" s="15" t="s">
        <v>12</v>
      </c>
      <c r="D16" s="15" t="s">
        <v>13</v>
      </c>
      <c r="E16" s="15" t="s">
        <v>14</v>
      </c>
      <c r="F16" s="15" t="s">
        <v>15</v>
      </c>
      <c r="G16" s="15" t="s">
        <v>16</v>
      </c>
    </row>
    <row r="17" ht="14.25" customHeight="1">
      <c r="A17" s="6" t="s">
        <v>17</v>
      </c>
      <c r="B17" s="16"/>
      <c r="C17" s="12">
        <f>D32</f>
        <v>0</v>
      </c>
      <c r="D17" s="12">
        <f>D33</f>
        <v>0</v>
      </c>
      <c r="E17" s="12">
        <f>D34</f>
        <v>0</v>
      </c>
      <c r="F17" s="12">
        <f>D35</f>
        <v>0</v>
      </c>
      <c r="G17" s="12">
        <f>D36</f>
        <v>0</v>
      </c>
    </row>
    <row r="18" ht="14.25" customHeight="1">
      <c r="A18" s="6" t="s">
        <v>18</v>
      </c>
      <c r="B18" s="16"/>
      <c r="C18" s="12">
        <f>G32</f>
        <v>0</v>
      </c>
      <c r="D18" s="12">
        <f>G33</f>
        <v>0</v>
      </c>
      <c r="E18" s="12">
        <f>G34</f>
        <v>0</v>
      </c>
      <c r="F18" s="12">
        <f>G35</f>
        <v>0</v>
      </c>
      <c r="G18" s="12">
        <f>G36</f>
        <v>0</v>
      </c>
    </row>
    <row r="19" ht="14.25" customHeight="1">
      <c r="A19" s="6" t="s">
        <v>19</v>
      </c>
      <c r="B19" s="12">
        <f>B6</f>
        <v>0</v>
      </c>
      <c r="C19" s="12">
        <f>B7</f>
        <v>0</v>
      </c>
      <c r="D19" s="12">
        <f>B8</f>
        <v>0</v>
      </c>
      <c r="E19" s="12">
        <f>B9</f>
        <v>0</v>
      </c>
      <c r="F19" s="12">
        <f>B9</f>
        <v>0</v>
      </c>
      <c r="G19" s="12">
        <f>B10</f>
        <v>0</v>
      </c>
    </row>
    <row r="20" ht="14.25" customHeight="1">
      <c r="A20" s="6" t="s">
        <v>20</v>
      </c>
      <c r="B20" s="16"/>
      <c r="C20" s="12">
        <f>B44</f>
        <v>0</v>
      </c>
      <c r="D20" s="12">
        <f>B44</f>
        <v>0</v>
      </c>
      <c r="E20" s="12">
        <f>B44</f>
        <v>0</v>
      </c>
      <c r="F20" s="12">
        <f>B44</f>
        <v>0</v>
      </c>
      <c r="G20" s="12">
        <f>B44</f>
        <v>0</v>
      </c>
    </row>
    <row r="21" ht="14.25" customHeight="1">
      <c r="A21" s="6" t="s">
        <v>21</v>
      </c>
      <c r="B21" s="16"/>
      <c r="C21" s="16"/>
      <c r="D21" s="16"/>
      <c r="E21" s="16"/>
      <c r="F21" s="16"/>
      <c r="G21" s="16"/>
      <c r="H21" s="5"/>
    </row>
    <row r="22" ht="14.25" customHeight="1">
      <c r="A22" s="6" t="s">
        <v>22</v>
      </c>
      <c r="B22" s="16"/>
      <c r="C22" s="12">
        <f t="shared" ref="C22:G22" si="1">C17-C18-C19-C20</f>
        <v>0</v>
      </c>
      <c r="D22" s="12">
        <f t="shared" si="1"/>
        <v>0</v>
      </c>
      <c r="E22" s="12">
        <f t="shared" si="1"/>
        <v>0</v>
      </c>
      <c r="F22" s="12">
        <f t="shared" si="1"/>
        <v>0</v>
      </c>
      <c r="G22" s="12">
        <f t="shared" si="1"/>
        <v>0</v>
      </c>
      <c r="H22" s="17"/>
    </row>
    <row r="23" ht="14.25" customHeight="1">
      <c r="A23" s="6" t="s">
        <v>23</v>
      </c>
      <c r="B23" s="16"/>
      <c r="C23" s="12">
        <f t="shared" ref="C23:G23" si="2">C22*$B5</f>
        <v>0</v>
      </c>
      <c r="D23" s="12">
        <f t="shared" si="2"/>
        <v>0</v>
      </c>
      <c r="E23" s="12">
        <f t="shared" si="2"/>
        <v>0</v>
      </c>
      <c r="F23" s="12">
        <f t="shared" si="2"/>
        <v>0</v>
      </c>
      <c r="G23" s="12">
        <f t="shared" si="2"/>
        <v>0</v>
      </c>
      <c r="H23" s="17"/>
    </row>
    <row r="24" ht="14.25" customHeight="1">
      <c r="A24" s="6" t="s">
        <v>24</v>
      </c>
      <c r="B24" s="16"/>
      <c r="C24" s="12">
        <f t="shared" ref="C24:G24" si="3">C22-C23</f>
        <v>0</v>
      </c>
      <c r="D24" s="12">
        <f t="shared" si="3"/>
        <v>0</v>
      </c>
      <c r="E24" s="12">
        <f t="shared" si="3"/>
        <v>0</v>
      </c>
      <c r="F24" s="12">
        <f t="shared" si="3"/>
        <v>0</v>
      </c>
      <c r="G24" s="12">
        <f t="shared" si="3"/>
        <v>0</v>
      </c>
      <c r="H24" s="17"/>
    </row>
    <row r="25" ht="14.25" customHeight="1">
      <c r="A25" s="6" t="s">
        <v>25</v>
      </c>
      <c r="B25" s="16"/>
      <c r="C25" s="12">
        <f>B44</f>
        <v>0</v>
      </c>
      <c r="D25" s="12">
        <f>B44</f>
        <v>0</v>
      </c>
      <c r="E25" s="12">
        <f>B44</f>
        <v>0</v>
      </c>
      <c r="F25" s="12">
        <f>B44</f>
        <v>0</v>
      </c>
      <c r="G25" s="12">
        <f>B44</f>
        <v>0</v>
      </c>
      <c r="H25" s="17"/>
    </row>
    <row r="26" ht="14.25" customHeight="1">
      <c r="A26" s="6" t="s">
        <v>26</v>
      </c>
      <c r="B26" s="16"/>
      <c r="C26" s="16"/>
      <c r="D26" s="16"/>
      <c r="E26" s="16"/>
      <c r="F26" s="16"/>
      <c r="G26" s="16"/>
      <c r="H26" s="17"/>
    </row>
    <row r="27" ht="14.25" customHeight="1">
      <c r="A27" s="6" t="s">
        <v>27</v>
      </c>
      <c r="B27" s="12">
        <f>B13</f>
        <v>0</v>
      </c>
      <c r="C27" s="16"/>
      <c r="D27" s="16"/>
      <c r="E27" s="16"/>
      <c r="F27" s="16"/>
      <c r="G27" s="16"/>
      <c r="H27" s="17"/>
    </row>
    <row r="28" ht="14.25" customHeight="1">
      <c r="A28" s="6" t="s">
        <v>28</v>
      </c>
      <c r="B28" s="12">
        <f>-B27-B19</f>
        <v>0</v>
      </c>
      <c r="C28" s="12">
        <f t="shared" ref="C28:G28" si="4">C24+C25</f>
        <v>0</v>
      </c>
      <c r="D28" s="12">
        <f t="shared" si="4"/>
        <v>0</v>
      </c>
      <c r="E28" s="12">
        <f t="shared" si="4"/>
        <v>0</v>
      </c>
      <c r="F28" s="12">
        <f t="shared" si="4"/>
        <v>0</v>
      </c>
      <c r="G28" s="12">
        <f t="shared" si="4"/>
        <v>0</v>
      </c>
      <c r="H28" s="17"/>
      <c r="I28" s="18"/>
    </row>
    <row r="29" ht="14.25" customHeight="1">
      <c r="F29" s="19" t="s">
        <v>29</v>
      </c>
      <c r="G29" s="20">
        <f>G28+F28+E28+D28+C28+B28</f>
        <v>0</v>
      </c>
      <c r="H29" s="17"/>
    </row>
    <row r="30" ht="14.25" customHeight="1"/>
    <row r="31" ht="14.25" customHeight="1">
      <c r="A31" s="21" t="s">
        <v>30</v>
      </c>
      <c r="B31" s="22" t="s">
        <v>31</v>
      </c>
      <c r="C31" s="22" t="s">
        <v>32</v>
      </c>
      <c r="D31" s="19" t="s">
        <v>34</v>
      </c>
      <c r="E31" s="19" t="s">
        <v>35</v>
      </c>
      <c r="F31" s="19" t="s">
        <v>36</v>
      </c>
      <c r="G31" s="19" t="s">
        <v>36</v>
      </c>
      <c r="H31" s="24"/>
      <c r="L31" s="25"/>
      <c r="M31" s="25"/>
    </row>
    <row r="32" ht="14.25" customHeight="1">
      <c r="A32" s="6">
        <v>1.0</v>
      </c>
      <c r="B32" s="26">
        <v>5.0</v>
      </c>
      <c r="C32" s="26">
        <v>5.0</v>
      </c>
      <c r="D32" s="27">
        <v>0.0</v>
      </c>
      <c r="E32" s="27">
        <v>0.0</v>
      </c>
      <c r="F32" s="29">
        <f>E32*12</f>
        <v>0</v>
      </c>
      <c r="G32" s="29">
        <f t="shared" ref="G32:G36" si="5">L32+F32</f>
        <v>0</v>
      </c>
      <c r="H32" s="30"/>
      <c r="L32" s="31"/>
      <c r="M32" s="31"/>
    </row>
    <row r="33" ht="14.25" customHeight="1">
      <c r="A33" s="6">
        <v>2.0</v>
      </c>
      <c r="B33" s="26">
        <v>10.0</v>
      </c>
      <c r="C33" s="26">
        <v>10.0</v>
      </c>
      <c r="D33" s="27">
        <v>0.0</v>
      </c>
      <c r="E33" s="27">
        <v>0.0</v>
      </c>
      <c r="F33" s="27">
        <v>0.0</v>
      </c>
      <c r="G33" s="29">
        <f t="shared" si="5"/>
        <v>0</v>
      </c>
      <c r="H33" s="30"/>
      <c r="L33" s="31"/>
      <c r="M33" s="31"/>
    </row>
    <row r="34" ht="14.25" customHeight="1">
      <c r="A34" s="6">
        <v>3.0</v>
      </c>
      <c r="B34" s="26">
        <v>15.0</v>
      </c>
      <c r="C34" s="26">
        <v>15.0</v>
      </c>
      <c r="D34" s="27">
        <v>0.0</v>
      </c>
      <c r="E34" s="27">
        <v>0.0</v>
      </c>
      <c r="F34" s="29">
        <f t="shared" ref="F34:F36" si="6">E34*12</f>
        <v>0</v>
      </c>
      <c r="G34" s="29">
        <f t="shared" si="5"/>
        <v>0</v>
      </c>
      <c r="H34" s="30"/>
      <c r="L34" s="31"/>
      <c r="M34" s="31"/>
    </row>
    <row r="35" ht="14.25" customHeight="1">
      <c r="A35" s="6">
        <v>4.0</v>
      </c>
      <c r="B35" s="26">
        <v>17.0</v>
      </c>
      <c r="C35" s="26">
        <v>17.0</v>
      </c>
      <c r="D35" s="27">
        <v>0.0</v>
      </c>
      <c r="E35" s="27">
        <v>0.0</v>
      </c>
      <c r="F35" s="29">
        <f t="shared" si="6"/>
        <v>0</v>
      </c>
      <c r="G35" s="29">
        <f t="shared" si="5"/>
        <v>0</v>
      </c>
      <c r="H35" s="30"/>
      <c r="L35" s="31"/>
      <c r="M35" s="31"/>
    </row>
    <row r="36" ht="14.25" customHeight="1">
      <c r="A36" s="6">
        <v>5.0</v>
      </c>
      <c r="B36" s="32">
        <v>20.0</v>
      </c>
      <c r="C36" s="32">
        <v>20.0</v>
      </c>
      <c r="D36" s="27">
        <v>0.0</v>
      </c>
      <c r="E36" s="27">
        <v>0.0</v>
      </c>
      <c r="F36" s="29">
        <f t="shared" si="6"/>
        <v>0</v>
      </c>
      <c r="G36" s="29">
        <f t="shared" si="5"/>
        <v>0</v>
      </c>
      <c r="H36" s="30"/>
      <c r="L36" s="31"/>
      <c r="M36" s="31"/>
    </row>
    <row r="37" ht="14.25" customHeight="1"/>
    <row r="38" ht="14.25" customHeight="1"/>
    <row r="39" ht="14.25" customHeight="1">
      <c r="A39" s="4" t="s">
        <v>38</v>
      </c>
      <c r="B39" s="3"/>
      <c r="C39" s="18"/>
      <c r="G39" s="33"/>
    </row>
    <row r="40" ht="14.25" customHeight="1">
      <c r="A40" s="6" t="s">
        <v>39</v>
      </c>
      <c r="B40" s="12">
        <f>B11</f>
        <v>0</v>
      </c>
    </row>
    <row r="41" ht="14.25" customHeight="1">
      <c r="A41" s="6" t="s">
        <v>40</v>
      </c>
      <c r="B41" s="12">
        <f>B40/10</f>
        <v>0</v>
      </c>
    </row>
    <row r="42" ht="14.25" customHeight="1">
      <c r="A42" s="6" t="s">
        <v>41</v>
      </c>
      <c r="B42" s="16">
        <v>5.0</v>
      </c>
    </row>
    <row r="43" ht="14.25" customHeight="1">
      <c r="A43" s="6" t="s">
        <v>42</v>
      </c>
      <c r="B43" s="12">
        <f>B40-B41</f>
        <v>0</v>
      </c>
    </row>
    <row r="44" ht="14.25" customHeight="1">
      <c r="A44" s="6" t="s">
        <v>43</v>
      </c>
      <c r="B44" s="12">
        <f>B43/B42</f>
        <v>0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>
      <c r="A183" s="39"/>
    </row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mergeCells count="3">
    <mergeCell ref="A1:D1"/>
    <mergeCell ref="A3:B3"/>
    <mergeCell ref="A39:B3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31.29"/>
    <col customWidth="1" min="3" max="3" width="38.71"/>
    <col customWidth="1" min="4" max="4" width="25.57"/>
    <col customWidth="1" min="5" max="5" width="23.43"/>
    <col customWidth="1" min="6" max="6" width="26.57"/>
    <col customWidth="1" min="7" max="7" width="25.57"/>
    <col customWidth="1" min="8" max="8" width="25.0"/>
    <col customWidth="1" min="9" max="10" width="33.43"/>
    <col customWidth="1" min="11" max="11" width="37.14"/>
    <col customWidth="1" min="12" max="12" width="36.0"/>
    <col customWidth="1" min="13" max="15" width="35.43"/>
    <col customWidth="1" min="16" max="16" width="21.71"/>
    <col customWidth="1" min="17" max="17" width="17.14"/>
    <col customWidth="1" min="18" max="18" width="14.0"/>
    <col customWidth="1" min="19" max="20" width="31.71"/>
    <col customWidth="1" min="21" max="21" width="15.57"/>
    <col customWidth="1" min="22" max="34" width="10.71"/>
  </cols>
  <sheetData>
    <row r="1" ht="14.25" customHeight="1">
      <c r="A1" s="1"/>
      <c r="B1" s="2"/>
      <c r="C1" s="2"/>
      <c r="D1" s="3"/>
    </row>
    <row r="2" ht="14.25" customHeight="1"/>
    <row r="3" ht="14.25" customHeight="1">
      <c r="A3" s="4" t="s">
        <v>0</v>
      </c>
      <c r="B3" s="3"/>
      <c r="V3" s="5"/>
      <c r="W3" s="5"/>
      <c r="X3" s="5"/>
    </row>
    <row r="4" ht="14.25" customHeight="1">
      <c r="A4" s="6" t="s">
        <v>1</v>
      </c>
      <c r="B4" s="8">
        <v>0.0</v>
      </c>
      <c r="D4" s="9"/>
      <c r="V4" s="5"/>
      <c r="W4" s="5"/>
      <c r="X4" s="5"/>
    </row>
    <row r="5" ht="14.25" customHeight="1">
      <c r="A5" s="6" t="s">
        <v>2</v>
      </c>
      <c r="B5" s="8">
        <v>0.19</v>
      </c>
      <c r="V5" s="5"/>
      <c r="W5" s="5"/>
      <c r="X5" s="5"/>
    </row>
    <row r="6" ht="14.25" customHeight="1">
      <c r="A6" s="11" t="s">
        <v>3</v>
      </c>
      <c r="B6" s="12">
        <f>17680000</f>
        <v>17680000</v>
      </c>
      <c r="V6" s="5"/>
      <c r="W6" s="5"/>
      <c r="X6" s="5"/>
    </row>
    <row r="7" ht="14.25" customHeight="1">
      <c r="A7" s="11" t="s">
        <v>4</v>
      </c>
      <c r="B7" s="12">
        <f t="shared" ref="B7:B8" si="1">9020000</f>
        <v>9020000</v>
      </c>
      <c r="V7" s="5"/>
      <c r="W7" s="5"/>
      <c r="X7" s="5"/>
    </row>
    <row r="8" ht="14.25" customHeight="1">
      <c r="A8" s="11" t="s">
        <v>5</v>
      </c>
      <c r="B8" s="12">
        <f t="shared" si="1"/>
        <v>9020000</v>
      </c>
      <c r="V8" s="5"/>
      <c r="W8" s="5"/>
      <c r="X8" s="5"/>
    </row>
    <row r="9" ht="14.25" customHeight="1">
      <c r="A9" s="6" t="s">
        <v>6</v>
      </c>
      <c r="B9" s="12">
        <f t="shared" ref="B9:B10" si="2">17640000</f>
        <v>17640000</v>
      </c>
      <c r="V9" s="5"/>
      <c r="W9" s="5"/>
      <c r="X9" s="5"/>
    </row>
    <row r="10" ht="14.25" customHeight="1">
      <c r="A10" s="6" t="s">
        <v>7</v>
      </c>
      <c r="B10" s="12">
        <f t="shared" si="2"/>
        <v>17640000</v>
      </c>
      <c r="V10" s="5"/>
      <c r="W10" s="5"/>
      <c r="X10" s="5"/>
    </row>
    <row r="11" ht="14.25" customHeight="1">
      <c r="A11" s="6" t="s">
        <v>8</v>
      </c>
      <c r="B11" s="13">
        <v>2600000.0</v>
      </c>
      <c r="V11" s="5"/>
      <c r="W11" s="5"/>
    </row>
    <row r="12" ht="14.25" customHeight="1">
      <c r="A12" s="6" t="s">
        <v>9</v>
      </c>
      <c r="B12" s="14">
        <v>25000.0</v>
      </c>
      <c r="V12" s="5"/>
      <c r="W12" s="5"/>
    </row>
    <row r="13" ht="14.25" customHeight="1">
      <c r="A13" s="6" t="s">
        <v>10</v>
      </c>
      <c r="B13" s="12">
        <f>B11+B12</f>
        <v>2625000</v>
      </c>
      <c r="V13" s="5"/>
      <c r="W13" s="5"/>
    </row>
    <row r="14" ht="14.25" customHeight="1"/>
    <row r="15" ht="14.25" customHeight="1"/>
    <row r="16" ht="14.25" customHeight="1">
      <c r="A16" s="5"/>
      <c r="B16" s="15" t="s">
        <v>11</v>
      </c>
      <c r="C16" s="15" t="s">
        <v>12</v>
      </c>
      <c r="D16" s="15" t="s">
        <v>13</v>
      </c>
      <c r="E16" s="15" t="s">
        <v>14</v>
      </c>
      <c r="F16" s="15" t="s">
        <v>15</v>
      </c>
      <c r="G16" s="15" t="s">
        <v>16</v>
      </c>
    </row>
    <row r="17" ht="14.25" customHeight="1">
      <c r="A17" s="6" t="s">
        <v>17</v>
      </c>
      <c r="B17" s="16"/>
      <c r="C17" s="12">
        <f>P36</f>
        <v>22190000</v>
      </c>
      <c r="D17" s="12">
        <f>P37</f>
        <v>30100000</v>
      </c>
      <c r="E17" s="12">
        <f>P38</f>
        <v>47838000</v>
      </c>
      <c r="F17" s="12">
        <f>P39</f>
        <v>60670000</v>
      </c>
      <c r="G17" s="12">
        <f>P40</f>
        <v>76572000</v>
      </c>
    </row>
    <row r="18" ht="14.25" customHeight="1">
      <c r="A18" s="6" t="s">
        <v>18</v>
      </c>
      <c r="B18" s="16"/>
      <c r="C18" s="12">
        <f>U36</f>
        <v>3180637</v>
      </c>
      <c r="D18" s="12">
        <f>U37</f>
        <v>3317480</v>
      </c>
      <c r="E18" s="12">
        <f>U38</f>
        <v>3624347.4</v>
      </c>
      <c r="F18" s="12">
        <f>U39</f>
        <v>3846341</v>
      </c>
      <c r="G18" s="12">
        <f>U40</f>
        <v>4121445.6</v>
      </c>
    </row>
    <row r="19" ht="14.25" customHeight="1">
      <c r="A19" s="6" t="s">
        <v>19</v>
      </c>
      <c r="B19" s="12">
        <f>B6</f>
        <v>17680000</v>
      </c>
      <c r="C19" s="12">
        <f>B7</f>
        <v>9020000</v>
      </c>
      <c r="D19" s="12">
        <f>B8</f>
        <v>9020000</v>
      </c>
      <c r="E19" s="12">
        <f>B9</f>
        <v>17640000</v>
      </c>
      <c r="F19" s="12">
        <f>B9</f>
        <v>17640000</v>
      </c>
      <c r="G19" s="12">
        <f>B10</f>
        <v>17640000</v>
      </c>
    </row>
    <row r="20" ht="14.25" customHeight="1">
      <c r="A20" s="6" t="s">
        <v>20</v>
      </c>
      <c r="B20" s="16"/>
      <c r="C20" s="12">
        <f>B48</f>
        <v>468000</v>
      </c>
      <c r="D20" s="12">
        <f>B48</f>
        <v>468000</v>
      </c>
      <c r="E20" s="12">
        <f>B48</f>
        <v>468000</v>
      </c>
      <c r="F20" s="12">
        <f>B48</f>
        <v>468000</v>
      </c>
      <c r="G20" s="12">
        <f>B48</f>
        <v>468000</v>
      </c>
    </row>
    <row r="21" ht="14.25" customHeight="1">
      <c r="A21" s="6" t="s">
        <v>21</v>
      </c>
      <c r="B21" s="16"/>
      <c r="C21" s="16"/>
      <c r="D21" s="16"/>
      <c r="E21" s="16"/>
      <c r="F21" s="16"/>
      <c r="G21" s="16"/>
      <c r="H21" s="5"/>
      <c r="I21" s="5"/>
      <c r="J21" s="5"/>
      <c r="K21" s="5"/>
      <c r="L21" s="5"/>
      <c r="M21" s="5"/>
      <c r="N21" s="5"/>
      <c r="O21" s="5"/>
    </row>
    <row r="22" ht="14.25" customHeight="1">
      <c r="A22" s="6" t="s">
        <v>22</v>
      </c>
      <c r="B22" s="16"/>
      <c r="C22" s="12">
        <f t="shared" ref="C22:G22" si="3">C17-C18-C19-C20</f>
        <v>9521363</v>
      </c>
      <c r="D22" s="12">
        <f t="shared" si="3"/>
        <v>17294520</v>
      </c>
      <c r="E22" s="12">
        <f t="shared" si="3"/>
        <v>26105652.6</v>
      </c>
      <c r="F22" s="12">
        <f t="shared" si="3"/>
        <v>38715659</v>
      </c>
      <c r="G22" s="12">
        <f t="shared" si="3"/>
        <v>54342554.4</v>
      </c>
      <c r="H22" s="17"/>
      <c r="I22" s="17"/>
      <c r="J22" s="17"/>
      <c r="K22" s="17"/>
      <c r="L22" s="17"/>
      <c r="M22" s="17"/>
      <c r="N22" s="17"/>
      <c r="O22" s="17"/>
    </row>
    <row r="23" ht="14.25" customHeight="1">
      <c r="A23" s="6" t="s">
        <v>23</v>
      </c>
      <c r="B23" s="16"/>
      <c r="C23" s="12">
        <f t="shared" ref="C23:G23" si="4">C22*$B5</f>
        <v>1809058.97</v>
      </c>
      <c r="D23" s="12">
        <f t="shared" si="4"/>
        <v>3285958.8</v>
      </c>
      <c r="E23" s="12">
        <f t="shared" si="4"/>
        <v>4960073.994</v>
      </c>
      <c r="F23" s="12">
        <f t="shared" si="4"/>
        <v>7355975.21</v>
      </c>
      <c r="G23" s="12">
        <f t="shared" si="4"/>
        <v>10325085.34</v>
      </c>
      <c r="H23" s="17"/>
      <c r="I23" s="17"/>
      <c r="J23" s="17"/>
      <c r="K23" s="17"/>
      <c r="L23" s="17"/>
      <c r="M23" s="17"/>
      <c r="N23" s="17"/>
      <c r="O23" s="17"/>
    </row>
    <row r="24" ht="14.25" customHeight="1">
      <c r="A24" s="6" t="s">
        <v>24</v>
      </c>
      <c r="B24" s="16"/>
      <c r="C24" s="12">
        <f t="shared" ref="C24:G24" si="5">C22-C23</f>
        <v>7712304.03</v>
      </c>
      <c r="D24" s="12">
        <f t="shared" si="5"/>
        <v>14008561.2</v>
      </c>
      <c r="E24" s="12">
        <f t="shared" si="5"/>
        <v>21145578.61</v>
      </c>
      <c r="F24" s="12">
        <f t="shared" si="5"/>
        <v>31359683.79</v>
      </c>
      <c r="G24" s="12">
        <f t="shared" si="5"/>
        <v>44017469.06</v>
      </c>
      <c r="H24" s="17"/>
      <c r="I24" s="17"/>
      <c r="J24" s="17"/>
      <c r="K24" s="17"/>
      <c r="L24" s="17"/>
      <c r="M24" s="17"/>
      <c r="N24" s="17"/>
      <c r="O24" s="17"/>
    </row>
    <row r="25" ht="14.25" customHeight="1">
      <c r="A25" s="6" t="s">
        <v>25</v>
      </c>
      <c r="B25" s="16"/>
      <c r="C25" s="12">
        <f>B48</f>
        <v>468000</v>
      </c>
      <c r="D25" s="12">
        <f>B48</f>
        <v>468000</v>
      </c>
      <c r="E25" s="12">
        <f>B48</f>
        <v>468000</v>
      </c>
      <c r="F25" s="12">
        <f>B48</f>
        <v>468000</v>
      </c>
      <c r="G25" s="12">
        <f>B48</f>
        <v>468000</v>
      </c>
      <c r="H25" s="17"/>
      <c r="I25" s="17"/>
      <c r="J25" s="17"/>
      <c r="K25" s="17"/>
      <c r="L25" s="17"/>
      <c r="M25" s="17"/>
      <c r="N25" s="17"/>
      <c r="O25" s="17"/>
    </row>
    <row r="26" ht="14.25" customHeight="1">
      <c r="A26" s="6" t="s">
        <v>26</v>
      </c>
      <c r="B26" s="16"/>
      <c r="C26" s="16"/>
      <c r="D26" s="16"/>
      <c r="E26" s="16"/>
      <c r="F26" s="16"/>
      <c r="G26" s="16"/>
      <c r="H26" s="17"/>
      <c r="I26" s="17"/>
      <c r="J26" s="17"/>
      <c r="K26" s="17"/>
      <c r="L26" s="17"/>
      <c r="M26" s="17"/>
      <c r="N26" s="17"/>
      <c r="O26" s="17"/>
    </row>
    <row r="27" ht="14.25" customHeight="1">
      <c r="A27" s="6" t="s">
        <v>27</v>
      </c>
      <c r="B27" s="12">
        <f>B13</f>
        <v>2625000</v>
      </c>
      <c r="C27" s="16"/>
      <c r="D27" s="16"/>
      <c r="E27" s="16"/>
      <c r="F27" s="16"/>
      <c r="G27" s="16"/>
      <c r="H27" s="17"/>
      <c r="I27" s="17"/>
      <c r="J27" s="17"/>
      <c r="K27" s="17"/>
      <c r="L27" s="17"/>
      <c r="M27" s="17"/>
      <c r="N27" s="17"/>
      <c r="O27" s="17"/>
    </row>
    <row r="28" ht="14.25" customHeight="1">
      <c r="A28" s="6" t="s">
        <v>28</v>
      </c>
      <c r="B28" s="12">
        <f>-B27-B19</f>
        <v>-20305000</v>
      </c>
      <c r="C28" s="12">
        <f t="shared" ref="C28:G28" si="6">C24+C25</f>
        <v>8180304.03</v>
      </c>
      <c r="D28" s="12">
        <f t="shared" si="6"/>
        <v>14476561.2</v>
      </c>
      <c r="E28" s="12">
        <f t="shared" si="6"/>
        <v>21613578.61</v>
      </c>
      <c r="F28" s="12">
        <f t="shared" si="6"/>
        <v>31827683.79</v>
      </c>
      <c r="G28" s="12">
        <f t="shared" si="6"/>
        <v>44485469.06</v>
      </c>
      <c r="H28" s="17"/>
      <c r="I28" s="17"/>
      <c r="J28" s="17"/>
      <c r="K28" s="17"/>
      <c r="L28" s="17"/>
      <c r="M28" s="17"/>
      <c r="N28" s="17"/>
      <c r="O28" s="17"/>
      <c r="P28" s="18"/>
    </row>
    <row r="29" ht="14.25" customHeight="1">
      <c r="F29" s="19" t="s">
        <v>29</v>
      </c>
      <c r="G29" s="20">
        <f>G28+F28+E28+D28+C28+B28</f>
        <v>100278596.7</v>
      </c>
      <c r="H29" s="17"/>
      <c r="I29" s="17"/>
      <c r="J29" s="17"/>
      <c r="K29" s="17"/>
      <c r="L29" s="17"/>
      <c r="M29" s="17"/>
      <c r="N29" s="17"/>
      <c r="O29" s="17"/>
    </row>
    <row r="30" ht="14.25" customHeight="1">
      <c r="H30" s="17"/>
      <c r="I30" s="17"/>
      <c r="J30" s="17"/>
      <c r="K30" s="17"/>
      <c r="L30" s="17"/>
      <c r="M30" s="17"/>
      <c r="N30" s="17"/>
      <c r="O30" s="17"/>
    </row>
    <row r="31" ht="14.25" customHeight="1">
      <c r="A31" s="23" t="s">
        <v>33</v>
      </c>
      <c r="B31" s="28">
        <f>((G29-B27)/(B27))</f>
        <v>37.20137017</v>
      </c>
      <c r="H31" s="17"/>
      <c r="I31" s="17"/>
      <c r="J31" s="17"/>
      <c r="K31" s="17"/>
      <c r="L31" s="17"/>
      <c r="M31" s="17"/>
      <c r="N31" s="17"/>
      <c r="O31" s="17"/>
    </row>
    <row r="32" ht="14.25" customHeight="1">
      <c r="A32" s="6" t="s">
        <v>37</v>
      </c>
      <c r="B32" s="12">
        <f t="array" ref="B32">NPV(B4,C28:G28)+B28</f>
        <v>100278596.7</v>
      </c>
      <c r="H32" s="17"/>
      <c r="I32" s="17"/>
      <c r="J32" s="17"/>
      <c r="K32" s="17"/>
      <c r="L32" s="17"/>
      <c r="M32" s="17"/>
      <c r="N32" s="17"/>
      <c r="O32" s="17"/>
    </row>
    <row r="33" ht="14.25" customHeight="1">
      <c r="A33" s="6" t="s">
        <v>44</v>
      </c>
      <c r="B33" s="34">
        <f>IRR(B28:G28,B4)</f>
        <v>0.7256201466</v>
      </c>
      <c r="H33" s="17"/>
      <c r="I33" s="17"/>
      <c r="J33" s="17"/>
      <c r="K33" s="17"/>
      <c r="L33" s="17"/>
      <c r="M33" s="17"/>
      <c r="N33" s="17"/>
      <c r="O33" s="17"/>
    </row>
    <row r="34" ht="14.25" customHeight="1"/>
    <row r="35" ht="14.25" customHeight="1">
      <c r="A35" s="21" t="s">
        <v>30</v>
      </c>
      <c r="B35" s="22" t="s">
        <v>45</v>
      </c>
      <c r="C35" s="22" t="s">
        <v>46</v>
      </c>
      <c r="D35" s="22" t="s">
        <v>47</v>
      </c>
      <c r="E35" s="22" t="s">
        <v>48</v>
      </c>
      <c r="F35" s="35" t="s">
        <v>49</v>
      </c>
      <c r="G35" s="35" t="s">
        <v>50</v>
      </c>
      <c r="H35" s="22" t="s">
        <v>51</v>
      </c>
      <c r="I35" s="22" t="s">
        <v>52</v>
      </c>
      <c r="J35" s="22" t="s">
        <v>53</v>
      </c>
      <c r="K35" s="22" t="s">
        <v>54</v>
      </c>
      <c r="L35" s="22" t="s">
        <v>55</v>
      </c>
      <c r="M35" s="22" t="s">
        <v>56</v>
      </c>
      <c r="N35" s="22" t="s">
        <v>57</v>
      </c>
      <c r="O35" s="22" t="s">
        <v>58</v>
      </c>
      <c r="P35" s="19" t="s">
        <v>34</v>
      </c>
      <c r="Q35" s="19" t="s">
        <v>35</v>
      </c>
      <c r="R35" s="19" t="s">
        <v>36</v>
      </c>
      <c r="S35" s="36" t="s">
        <v>59</v>
      </c>
      <c r="T35" s="36" t="s">
        <v>60</v>
      </c>
      <c r="U35" s="19" t="s">
        <v>36</v>
      </c>
    </row>
    <row r="36" ht="14.25" customHeight="1">
      <c r="A36" s="6">
        <v>1.0</v>
      </c>
      <c r="B36" s="26">
        <v>60.0</v>
      </c>
      <c r="C36" s="37">
        <v>7000.0</v>
      </c>
      <c r="D36" s="38">
        <f t="shared" ref="D36:D40" si="7">C36*B36</f>
        <v>420000</v>
      </c>
      <c r="E36" s="12">
        <f t="shared" ref="E36:E40" si="8">D36*12</f>
        <v>5040000</v>
      </c>
      <c r="F36" s="26">
        <v>110.0</v>
      </c>
      <c r="G36" s="26">
        <v>70000.0</v>
      </c>
      <c r="H36" s="13">
        <f t="shared" ref="H36:H40" si="9">G36*F36</f>
        <v>7700000</v>
      </c>
      <c r="I36" s="26">
        <v>10.0</v>
      </c>
      <c r="J36" s="13">
        <v>35000.0</v>
      </c>
      <c r="K36" s="13">
        <f t="shared" ref="K36:K40" si="10">J36*I36</f>
        <v>350000</v>
      </c>
      <c r="L36" s="13">
        <f t="shared" ref="L36:L40" si="11">K36*12</f>
        <v>4200000</v>
      </c>
      <c r="M36" s="26">
        <v>15.0</v>
      </c>
      <c r="N36" s="13">
        <v>350000.0</v>
      </c>
      <c r="O36" s="13">
        <f t="shared" ref="O36:O40" si="12">N36*M36</f>
        <v>5250000</v>
      </c>
      <c r="P36" s="29">
        <f t="shared" ref="P36:P40" si="13">E36+H36+L36+O36</f>
        <v>22190000</v>
      </c>
      <c r="Q36" s="27">
        <f t="shared" ref="Q36:Q40" si="14"> 23699 + 8531 + 100000 + 100000</f>
        <v>232230</v>
      </c>
      <c r="R36" s="29">
        <f t="shared" ref="R36:R40" si="15">(Q36*12) + 9990</f>
        <v>2796750</v>
      </c>
      <c r="S36" s="27">
        <f t="shared" ref="S36:S40" si="16">(P36*70%)*0.0149</f>
        <v>231441.7</v>
      </c>
      <c r="T36" s="27">
        <f t="shared" ref="T36:T40" si="17">(P36*30%)*2.29%</f>
        <v>152445.3</v>
      </c>
      <c r="U36" s="29">
        <f t="shared" ref="U36:U40" si="18">S36+R36+T36</f>
        <v>3180637</v>
      </c>
    </row>
    <row r="37" ht="14.25" customHeight="1">
      <c r="A37" s="6">
        <v>2.0</v>
      </c>
      <c r="B37" s="26">
        <v>75.0</v>
      </c>
      <c r="C37" s="37">
        <v>7000.0</v>
      </c>
      <c r="D37" s="38">
        <f t="shared" si="7"/>
        <v>525000</v>
      </c>
      <c r="E37" s="12">
        <f t="shared" si="8"/>
        <v>6300000</v>
      </c>
      <c r="F37" s="26">
        <v>150.0</v>
      </c>
      <c r="G37" s="26">
        <v>70000.0</v>
      </c>
      <c r="H37" s="13">
        <f t="shared" si="9"/>
        <v>10500000</v>
      </c>
      <c r="I37" s="26">
        <v>15.0</v>
      </c>
      <c r="J37" s="13">
        <v>35000.0</v>
      </c>
      <c r="K37" s="13">
        <f t="shared" si="10"/>
        <v>525000</v>
      </c>
      <c r="L37" s="13">
        <f t="shared" si="11"/>
        <v>6300000</v>
      </c>
      <c r="M37" s="26">
        <v>20.0</v>
      </c>
      <c r="N37" s="13">
        <v>350000.0</v>
      </c>
      <c r="O37" s="13">
        <f t="shared" si="12"/>
        <v>7000000</v>
      </c>
      <c r="P37" s="29">
        <f t="shared" si="13"/>
        <v>30100000</v>
      </c>
      <c r="Q37" s="27">
        <f t="shared" si="14"/>
        <v>232230</v>
      </c>
      <c r="R37" s="29">
        <f t="shared" si="15"/>
        <v>2796750</v>
      </c>
      <c r="S37" s="27">
        <f t="shared" si="16"/>
        <v>313943</v>
      </c>
      <c r="T37" s="27">
        <f t="shared" si="17"/>
        <v>206787</v>
      </c>
      <c r="U37" s="29">
        <f t="shared" si="18"/>
        <v>3317480</v>
      </c>
    </row>
    <row r="38" ht="14.25" customHeight="1">
      <c r="A38" s="6">
        <v>3.0</v>
      </c>
      <c r="B38" s="26">
        <v>135.0</v>
      </c>
      <c r="C38" s="37">
        <v>7250.0</v>
      </c>
      <c r="D38" s="38">
        <f t="shared" si="7"/>
        <v>978750</v>
      </c>
      <c r="E38" s="12">
        <f t="shared" si="8"/>
        <v>11745000</v>
      </c>
      <c r="F38" s="26">
        <v>210.0</v>
      </c>
      <c r="G38" s="26">
        <v>72500.0</v>
      </c>
      <c r="H38" s="13">
        <f t="shared" si="9"/>
        <v>15225000</v>
      </c>
      <c r="I38" s="26">
        <v>22.0</v>
      </c>
      <c r="J38" s="13">
        <v>37000.0</v>
      </c>
      <c r="K38" s="13">
        <f t="shared" si="10"/>
        <v>814000</v>
      </c>
      <c r="L38" s="13">
        <f t="shared" si="11"/>
        <v>9768000</v>
      </c>
      <c r="M38" s="26">
        <v>30.0</v>
      </c>
      <c r="N38" s="13">
        <v>370000.0</v>
      </c>
      <c r="O38" s="13">
        <f t="shared" si="12"/>
        <v>11100000</v>
      </c>
      <c r="P38" s="29">
        <f t="shared" si="13"/>
        <v>47838000</v>
      </c>
      <c r="Q38" s="27">
        <f t="shared" si="14"/>
        <v>232230</v>
      </c>
      <c r="R38" s="29">
        <f t="shared" si="15"/>
        <v>2796750</v>
      </c>
      <c r="S38" s="27">
        <f t="shared" si="16"/>
        <v>498950.34</v>
      </c>
      <c r="T38" s="27">
        <f t="shared" si="17"/>
        <v>328647.06</v>
      </c>
      <c r="U38" s="29">
        <f t="shared" si="18"/>
        <v>3624347.4</v>
      </c>
    </row>
    <row r="39" ht="14.25" customHeight="1">
      <c r="A39" s="6">
        <v>4.0</v>
      </c>
      <c r="B39" s="26">
        <v>200.0</v>
      </c>
      <c r="C39" s="37">
        <v>7250.0</v>
      </c>
      <c r="D39" s="38">
        <f t="shared" si="7"/>
        <v>1450000</v>
      </c>
      <c r="E39" s="12">
        <f t="shared" si="8"/>
        <v>17400000</v>
      </c>
      <c r="F39" s="26">
        <v>260.0</v>
      </c>
      <c r="G39" s="26">
        <v>72500.0</v>
      </c>
      <c r="H39" s="13">
        <f t="shared" si="9"/>
        <v>18850000</v>
      </c>
      <c r="I39" s="26">
        <v>25.0</v>
      </c>
      <c r="J39" s="13">
        <v>37000.0</v>
      </c>
      <c r="K39" s="13">
        <f t="shared" si="10"/>
        <v>925000</v>
      </c>
      <c r="L39" s="13">
        <f t="shared" si="11"/>
        <v>11100000</v>
      </c>
      <c r="M39" s="26">
        <v>36.0</v>
      </c>
      <c r="N39" s="13">
        <v>370000.0</v>
      </c>
      <c r="O39" s="13">
        <f t="shared" si="12"/>
        <v>13320000</v>
      </c>
      <c r="P39" s="29">
        <f t="shared" si="13"/>
        <v>60670000</v>
      </c>
      <c r="Q39" s="27">
        <f t="shared" si="14"/>
        <v>232230</v>
      </c>
      <c r="R39" s="29">
        <f t="shared" si="15"/>
        <v>2796750</v>
      </c>
      <c r="S39" s="27">
        <f t="shared" si="16"/>
        <v>632788.1</v>
      </c>
      <c r="T39" s="27">
        <f t="shared" si="17"/>
        <v>416802.9</v>
      </c>
      <c r="U39" s="29">
        <f t="shared" si="18"/>
        <v>3846341</v>
      </c>
    </row>
    <row r="40" ht="14.25" customHeight="1">
      <c r="A40" s="6">
        <v>5.0</v>
      </c>
      <c r="B40" s="32">
        <v>255.0</v>
      </c>
      <c r="C40" s="37">
        <v>7500.0</v>
      </c>
      <c r="D40" s="38">
        <f t="shared" si="7"/>
        <v>1912500</v>
      </c>
      <c r="E40" s="12">
        <f t="shared" si="8"/>
        <v>22950000</v>
      </c>
      <c r="F40" s="26">
        <v>300.0</v>
      </c>
      <c r="G40" s="26">
        <v>75000.0</v>
      </c>
      <c r="H40" s="13">
        <f t="shared" si="9"/>
        <v>22500000</v>
      </c>
      <c r="I40" s="26">
        <v>29.0</v>
      </c>
      <c r="J40" s="13">
        <v>39000.0</v>
      </c>
      <c r="K40" s="13">
        <f t="shared" si="10"/>
        <v>1131000</v>
      </c>
      <c r="L40" s="13">
        <f t="shared" si="11"/>
        <v>13572000</v>
      </c>
      <c r="M40" s="26">
        <v>45.0</v>
      </c>
      <c r="N40" s="13">
        <v>390000.0</v>
      </c>
      <c r="O40" s="13">
        <f t="shared" si="12"/>
        <v>17550000</v>
      </c>
      <c r="P40" s="29">
        <f t="shared" si="13"/>
        <v>76572000</v>
      </c>
      <c r="Q40" s="27">
        <f t="shared" si="14"/>
        <v>232230</v>
      </c>
      <c r="R40" s="29">
        <f t="shared" si="15"/>
        <v>2796750</v>
      </c>
      <c r="S40" s="27">
        <f t="shared" si="16"/>
        <v>798645.96</v>
      </c>
      <c r="T40" s="27">
        <f t="shared" si="17"/>
        <v>526049.64</v>
      </c>
      <c r="U40" s="29">
        <f t="shared" si="18"/>
        <v>4121445.6</v>
      </c>
    </row>
    <row r="41" ht="14.25" customHeight="1"/>
    <row r="42" ht="14.25" customHeight="1"/>
    <row r="43" ht="14.25" customHeight="1">
      <c r="A43" s="4" t="s">
        <v>38</v>
      </c>
      <c r="B43" s="3"/>
      <c r="C43" s="18"/>
      <c r="G43" s="33"/>
    </row>
    <row r="44" ht="14.25" customHeight="1">
      <c r="A44" s="6" t="s">
        <v>39</v>
      </c>
      <c r="B44" s="12">
        <f>B11</f>
        <v>2600000</v>
      </c>
    </row>
    <row r="45" ht="14.25" customHeight="1">
      <c r="A45" s="6" t="s">
        <v>40</v>
      </c>
      <c r="B45" s="12">
        <f>B44/10</f>
        <v>260000</v>
      </c>
    </row>
    <row r="46" ht="14.25" customHeight="1">
      <c r="A46" s="6" t="s">
        <v>41</v>
      </c>
      <c r="B46" s="16">
        <v>5.0</v>
      </c>
    </row>
    <row r="47" ht="14.25" customHeight="1">
      <c r="A47" s="6" t="s">
        <v>42</v>
      </c>
      <c r="B47" s="12">
        <f>B44-B45</f>
        <v>2340000</v>
      </c>
    </row>
    <row r="48" ht="14.25" customHeight="1">
      <c r="A48" s="6" t="s">
        <v>43</v>
      </c>
      <c r="B48" s="12">
        <f>B47/B46</f>
        <v>468000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>
      <c r="A187" s="39"/>
    </row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3">
    <mergeCell ref="A1:D1"/>
    <mergeCell ref="A3:B3"/>
    <mergeCell ref="A43:B4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31.29"/>
    <col customWidth="1" min="3" max="3" width="38.71"/>
    <col customWidth="1" min="4" max="4" width="25.57"/>
    <col customWidth="1" min="5" max="5" width="23.43"/>
    <col customWidth="1" min="6" max="6" width="26.57"/>
    <col customWidth="1" min="7" max="7" width="25.57"/>
    <col customWidth="1" min="8" max="8" width="25.0"/>
    <col customWidth="1" min="9" max="9" width="33.0"/>
    <col customWidth="1" min="10" max="10" width="31.14"/>
    <col customWidth="1" min="11" max="11" width="36.86"/>
    <col customWidth="1" min="12" max="12" width="34.29"/>
    <col customWidth="1" min="13" max="13" width="30.0"/>
    <col customWidth="1" min="14" max="14" width="27.71"/>
    <col customWidth="1" min="15" max="15" width="31.71"/>
    <col customWidth="1" min="16" max="17" width="33.29"/>
    <col customWidth="1" min="18" max="18" width="31.71"/>
    <col customWidth="1" min="19" max="19" width="20.14"/>
    <col customWidth="1" min="20" max="20" width="16.57"/>
    <col customWidth="1" min="21" max="21" width="14.29"/>
    <col customWidth="1" min="22" max="22" width="17.29"/>
    <col customWidth="1" min="23" max="23" width="32.14"/>
    <col customWidth="1" min="24" max="24" width="14.57"/>
    <col customWidth="1" min="25" max="30" width="10.71"/>
  </cols>
  <sheetData>
    <row r="1" ht="14.25" customHeight="1">
      <c r="A1" s="1"/>
      <c r="B1" s="2"/>
      <c r="C1" s="2"/>
      <c r="D1" s="3"/>
    </row>
    <row r="2" ht="14.25" customHeight="1"/>
    <row r="3" ht="14.25" customHeight="1">
      <c r="A3" s="4" t="s">
        <v>0</v>
      </c>
      <c r="B3" s="3"/>
    </row>
    <row r="4" ht="14.25" customHeight="1">
      <c r="A4" s="6" t="s">
        <v>1</v>
      </c>
      <c r="B4" s="7">
        <v>0.0</v>
      </c>
      <c r="D4" s="9"/>
    </row>
    <row r="5" ht="14.25" customHeight="1">
      <c r="A5" s="6" t="s">
        <v>2</v>
      </c>
      <c r="B5" s="8">
        <v>0.19</v>
      </c>
    </row>
    <row r="6" ht="14.25" customHeight="1">
      <c r="A6" s="11" t="s">
        <v>3</v>
      </c>
      <c r="B6" s="12">
        <f>42550000</f>
        <v>42550000</v>
      </c>
    </row>
    <row r="7" ht="14.25" customHeight="1">
      <c r="A7" s="11" t="s">
        <v>4</v>
      </c>
      <c r="B7" s="12">
        <f t="shared" ref="B7:B8" si="1">12330000</f>
        <v>12330000</v>
      </c>
    </row>
    <row r="8" ht="14.25" customHeight="1">
      <c r="A8" s="11" t="s">
        <v>5</v>
      </c>
      <c r="B8" s="12">
        <f t="shared" si="1"/>
        <v>12330000</v>
      </c>
    </row>
    <row r="9" ht="14.25" customHeight="1">
      <c r="A9" s="6" t="s">
        <v>6</v>
      </c>
      <c r="B9" s="13">
        <v>2.311E7</v>
      </c>
    </row>
    <row r="10" ht="14.25" customHeight="1">
      <c r="A10" s="6" t="s">
        <v>7</v>
      </c>
      <c r="B10" s="13">
        <v>2.311E7</v>
      </c>
    </row>
    <row r="11" ht="14.25" customHeight="1">
      <c r="A11" s="6" t="s">
        <v>8</v>
      </c>
      <c r="B11" s="13">
        <v>2600000.0</v>
      </c>
    </row>
    <row r="12" ht="14.25" customHeight="1">
      <c r="A12" s="6" t="s">
        <v>9</v>
      </c>
      <c r="B12" s="14">
        <v>25000.0</v>
      </c>
    </row>
    <row r="13" ht="14.25" customHeight="1">
      <c r="A13" s="6" t="s">
        <v>10</v>
      </c>
      <c r="B13" s="12">
        <f>B11+B12</f>
        <v>2625000</v>
      </c>
    </row>
    <row r="14" ht="14.25" customHeight="1"/>
    <row r="15" ht="14.25" customHeight="1"/>
    <row r="16" ht="14.25" customHeight="1">
      <c r="A16" s="5"/>
      <c r="B16" s="15" t="s">
        <v>11</v>
      </c>
      <c r="C16" s="15" t="s">
        <v>12</v>
      </c>
      <c r="D16" s="15" t="s">
        <v>13</v>
      </c>
      <c r="E16" s="15" t="s">
        <v>14</v>
      </c>
      <c r="F16" s="15" t="s">
        <v>15</v>
      </c>
      <c r="G16" s="15" t="s">
        <v>16</v>
      </c>
    </row>
    <row r="17" ht="14.25" customHeight="1">
      <c r="A17" s="6" t="s">
        <v>17</v>
      </c>
      <c r="B17" s="16"/>
      <c r="C17" s="12">
        <f>S36</f>
        <v>28650000</v>
      </c>
      <c r="D17" s="12">
        <f>S37</f>
        <v>37760000</v>
      </c>
      <c r="E17" s="12">
        <f>S38</f>
        <v>52498000</v>
      </c>
      <c r="F17" s="12">
        <f>S39</f>
        <v>68832000</v>
      </c>
      <c r="G17" s="12">
        <f>S40</f>
        <v>90516000</v>
      </c>
    </row>
    <row r="18" ht="14.25" customHeight="1">
      <c r="A18" s="6" t="s">
        <v>18</v>
      </c>
      <c r="B18" s="16"/>
      <c r="C18" s="12">
        <f>X36</f>
        <v>7222779</v>
      </c>
      <c r="D18" s="12">
        <f>X37</f>
        <v>7380382</v>
      </c>
      <c r="E18" s="12">
        <f>X38</f>
        <v>7635349.4</v>
      </c>
      <c r="F18" s="12">
        <f>X39</f>
        <v>7917927.6</v>
      </c>
      <c r="G18" s="12">
        <f>X40</f>
        <v>8293060.8</v>
      </c>
    </row>
    <row r="19" ht="14.25" customHeight="1">
      <c r="A19" s="6" t="s">
        <v>19</v>
      </c>
      <c r="B19" s="12">
        <f>B6</f>
        <v>42550000</v>
      </c>
      <c r="C19" s="12">
        <f>B7</f>
        <v>12330000</v>
      </c>
      <c r="D19" s="12">
        <f>B8</f>
        <v>12330000</v>
      </c>
      <c r="E19" s="12">
        <f>B9</f>
        <v>23110000</v>
      </c>
      <c r="F19" s="12">
        <f>B9</f>
        <v>23110000</v>
      </c>
      <c r="G19" s="12">
        <f>B10</f>
        <v>23110000</v>
      </c>
    </row>
    <row r="20" ht="14.25" customHeight="1">
      <c r="A20" s="6" t="s">
        <v>20</v>
      </c>
      <c r="B20" s="16"/>
      <c r="C20" s="12">
        <f>B48</f>
        <v>468000</v>
      </c>
      <c r="D20" s="12">
        <f>B48</f>
        <v>468000</v>
      </c>
      <c r="E20" s="12">
        <f>B48</f>
        <v>468000</v>
      </c>
      <c r="F20" s="12">
        <f>B48</f>
        <v>468000</v>
      </c>
      <c r="G20" s="12">
        <f>B48</f>
        <v>468000</v>
      </c>
    </row>
    <row r="21" ht="14.25" customHeight="1">
      <c r="A21" s="6" t="s">
        <v>21</v>
      </c>
      <c r="B21" s="16"/>
      <c r="C21" s="16"/>
      <c r="D21" s="16"/>
      <c r="E21" s="16"/>
      <c r="F21" s="16"/>
      <c r="G21" s="1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ht="14.25" customHeight="1">
      <c r="A22" s="6" t="s">
        <v>22</v>
      </c>
      <c r="B22" s="16"/>
      <c r="C22" s="12">
        <f t="shared" ref="C22:G22" si="2">C17-C18-C19-C20</f>
        <v>8629221</v>
      </c>
      <c r="D22" s="12">
        <f t="shared" si="2"/>
        <v>17581618</v>
      </c>
      <c r="E22" s="12">
        <f t="shared" si="2"/>
        <v>21284650.6</v>
      </c>
      <c r="F22" s="12">
        <f t="shared" si="2"/>
        <v>37336072.4</v>
      </c>
      <c r="G22" s="12">
        <f t="shared" si="2"/>
        <v>58644939.2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</row>
    <row r="23" ht="14.25" customHeight="1">
      <c r="A23" s="6" t="s">
        <v>23</v>
      </c>
      <c r="B23" s="16"/>
      <c r="C23" s="12">
        <f t="shared" ref="C23:G23" si="3">C22*$B5</f>
        <v>1639551.99</v>
      </c>
      <c r="D23" s="12">
        <f t="shared" si="3"/>
        <v>3340507.42</v>
      </c>
      <c r="E23" s="12">
        <f t="shared" si="3"/>
        <v>4044083.614</v>
      </c>
      <c r="F23" s="12">
        <f t="shared" si="3"/>
        <v>7093853.756</v>
      </c>
      <c r="G23" s="12">
        <f t="shared" si="3"/>
        <v>11142538.45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</row>
    <row r="24" ht="14.25" customHeight="1">
      <c r="A24" s="6" t="s">
        <v>24</v>
      </c>
      <c r="B24" s="16"/>
      <c r="C24" s="12">
        <f t="shared" ref="C24:G24" si="4">C22-C23</f>
        <v>6989669.01</v>
      </c>
      <c r="D24" s="12">
        <f t="shared" si="4"/>
        <v>14241110.58</v>
      </c>
      <c r="E24" s="12">
        <f t="shared" si="4"/>
        <v>17240566.99</v>
      </c>
      <c r="F24" s="12">
        <f t="shared" si="4"/>
        <v>30242218.64</v>
      </c>
      <c r="G24" s="12">
        <f t="shared" si="4"/>
        <v>47502400.75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</row>
    <row r="25" ht="14.25" customHeight="1">
      <c r="A25" s="6" t="s">
        <v>25</v>
      </c>
      <c r="B25" s="16"/>
      <c r="C25" s="12">
        <f>B48</f>
        <v>468000</v>
      </c>
      <c r="D25" s="12">
        <f>B48</f>
        <v>468000</v>
      </c>
      <c r="E25" s="12">
        <f>B48</f>
        <v>468000</v>
      </c>
      <c r="F25" s="12">
        <f>B48</f>
        <v>468000</v>
      </c>
      <c r="G25" s="12">
        <f>B48</f>
        <v>468000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</row>
    <row r="26" ht="14.25" customHeight="1">
      <c r="A26" s="6" t="s">
        <v>26</v>
      </c>
      <c r="B26" s="16"/>
      <c r="C26" s="16"/>
      <c r="D26" s="16"/>
      <c r="E26" s="16"/>
      <c r="F26" s="16"/>
      <c r="G26" s="16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</row>
    <row r="27" ht="14.25" customHeight="1">
      <c r="A27" s="6" t="s">
        <v>27</v>
      </c>
      <c r="B27" s="12">
        <f>B13</f>
        <v>2625000</v>
      </c>
      <c r="C27" s="16"/>
      <c r="D27" s="16"/>
      <c r="E27" s="16"/>
      <c r="F27" s="16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</row>
    <row r="28" ht="14.25" customHeight="1">
      <c r="A28" s="6" t="s">
        <v>28</v>
      </c>
      <c r="B28" s="12">
        <f>-B27-B19</f>
        <v>-45175000</v>
      </c>
      <c r="C28" s="12">
        <f t="shared" ref="C28:G28" si="5">C24+C25</f>
        <v>7457669.01</v>
      </c>
      <c r="D28" s="12">
        <f t="shared" si="5"/>
        <v>14709110.58</v>
      </c>
      <c r="E28" s="12">
        <f t="shared" si="5"/>
        <v>17708566.99</v>
      </c>
      <c r="F28" s="12">
        <f t="shared" si="5"/>
        <v>30710218.64</v>
      </c>
      <c r="G28" s="12">
        <f t="shared" si="5"/>
        <v>47970400.75</v>
      </c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8"/>
    </row>
    <row r="29" ht="14.25" customHeight="1">
      <c r="F29" s="19" t="s">
        <v>29</v>
      </c>
      <c r="G29" s="20">
        <f>G28+F28+E28+D28+C28+B28</f>
        <v>73380965.97</v>
      </c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</row>
    <row r="30" ht="14.25" customHeight="1"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</row>
    <row r="31" ht="14.25" customHeight="1">
      <c r="A31" s="23" t="s">
        <v>33</v>
      </c>
      <c r="B31" s="28">
        <f>((G29-B27)/(B27))</f>
        <v>26.9546537</v>
      </c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</row>
    <row r="32" ht="14.25" customHeight="1">
      <c r="A32" s="6" t="s">
        <v>37</v>
      </c>
      <c r="B32" s="12">
        <f t="array" ref="B32">NPV(B4,C28:G28)+B28</f>
        <v>73380965.97</v>
      </c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</row>
    <row r="33" ht="14.25" customHeight="1">
      <c r="A33" s="6" t="s">
        <v>44</v>
      </c>
      <c r="B33" s="34">
        <f>IRR(B28:G28,B4)</f>
        <v>0.3085087685</v>
      </c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</row>
    <row r="34" ht="14.25" customHeight="1"/>
    <row r="35" ht="14.25" customHeight="1">
      <c r="A35" s="21" t="s">
        <v>30</v>
      </c>
      <c r="B35" s="22" t="s">
        <v>45</v>
      </c>
      <c r="C35" s="22" t="s">
        <v>46</v>
      </c>
      <c r="D35" s="22" t="s">
        <v>47</v>
      </c>
      <c r="E35" s="22" t="s">
        <v>48</v>
      </c>
      <c r="F35" s="35" t="s">
        <v>49</v>
      </c>
      <c r="G35" s="35" t="s">
        <v>50</v>
      </c>
      <c r="H35" s="22" t="s">
        <v>51</v>
      </c>
      <c r="I35" s="22" t="s">
        <v>52</v>
      </c>
      <c r="J35" s="22" t="s">
        <v>53</v>
      </c>
      <c r="K35" s="22" t="s">
        <v>54</v>
      </c>
      <c r="L35" s="22" t="s">
        <v>55</v>
      </c>
      <c r="M35" s="22" t="s">
        <v>56</v>
      </c>
      <c r="N35" s="22" t="s">
        <v>57</v>
      </c>
      <c r="O35" s="22" t="s">
        <v>58</v>
      </c>
      <c r="P35" s="22" t="s">
        <v>61</v>
      </c>
      <c r="Q35" s="22" t="s">
        <v>62</v>
      </c>
      <c r="R35" s="22" t="s">
        <v>63</v>
      </c>
      <c r="S35" s="19" t="s">
        <v>34</v>
      </c>
      <c r="T35" s="19" t="s">
        <v>35</v>
      </c>
      <c r="U35" s="19" t="s">
        <v>36</v>
      </c>
      <c r="V35" s="36" t="s">
        <v>59</v>
      </c>
      <c r="W35" s="36" t="s">
        <v>60</v>
      </c>
      <c r="X35" s="19" t="s">
        <v>36</v>
      </c>
    </row>
    <row r="36" ht="14.25" customHeight="1">
      <c r="A36" s="6">
        <v>1.0</v>
      </c>
      <c r="B36" s="26">
        <v>75.0</v>
      </c>
      <c r="C36" s="37">
        <v>7000.0</v>
      </c>
      <c r="D36" s="38">
        <f t="shared" ref="D36:D40" si="6">C36*B36</f>
        <v>525000</v>
      </c>
      <c r="E36" s="12">
        <f t="shared" ref="E36:E40" si="7">D36*12</f>
        <v>6300000</v>
      </c>
      <c r="F36" s="26">
        <v>130.0</v>
      </c>
      <c r="G36" s="26">
        <v>70000.0</v>
      </c>
      <c r="H36" s="13">
        <f t="shared" ref="H36:H40" si="8">G36*F36</f>
        <v>9100000</v>
      </c>
      <c r="I36" s="26">
        <v>15.0</v>
      </c>
      <c r="J36" s="13">
        <v>35000.0</v>
      </c>
      <c r="K36" s="13">
        <f t="shared" ref="K36:K40" si="9">J36*I36</f>
        <v>525000</v>
      </c>
      <c r="L36" s="13">
        <f t="shared" ref="L36:L40" si="10">K36*12</f>
        <v>6300000</v>
      </c>
      <c r="M36" s="26">
        <v>19.0</v>
      </c>
      <c r="N36" s="13">
        <v>350000.0</v>
      </c>
      <c r="O36" s="13">
        <f t="shared" ref="O36:O40" si="11">N36*M36</f>
        <v>6650000</v>
      </c>
      <c r="P36" s="26">
        <v>20.0</v>
      </c>
      <c r="Q36" s="13">
        <v>300000.0</v>
      </c>
      <c r="R36" s="13">
        <f t="shared" ref="R36:R40" si="12">(P36*Q36)*0.05</f>
        <v>300000</v>
      </c>
      <c r="S36" s="29">
        <f t="shared" ref="S36:S40" si="13">E36+H36+L36+O36+R36</f>
        <v>28650000</v>
      </c>
      <c r="T36" s="27">
        <f t="shared" ref="T36:T40" si="14">23699 + 17063 + 100000 + 19000 +200000 + 200000</f>
        <v>559762</v>
      </c>
      <c r="U36" s="29">
        <f t="shared" ref="U36:U40" si="15">(T36*12) + 9990</f>
        <v>6727134</v>
      </c>
      <c r="V36" s="27">
        <f t="shared" ref="V36:V40" si="16">(S36*70%)*0.0149</f>
        <v>298819.5</v>
      </c>
      <c r="W36" s="27">
        <f t="shared" ref="W36:W40" si="17">(S36*30%)*2.29%</f>
        <v>196825.5</v>
      </c>
      <c r="X36" s="29">
        <f t="shared" ref="X36:X40" si="18">V36+U36+W36</f>
        <v>7222779</v>
      </c>
    </row>
    <row r="37" ht="14.25" customHeight="1">
      <c r="A37" s="6">
        <v>2.0</v>
      </c>
      <c r="B37" s="26">
        <v>100.0</v>
      </c>
      <c r="C37" s="37">
        <v>7000.0</v>
      </c>
      <c r="D37" s="38">
        <f t="shared" si="6"/>
        <v>700000</v>
      </c>
      <c r="E37" s="12">
        <f t="shared" si="7"/>
        <v>8400000</v>
      </c>
      <c r="F37" s="26">
        <v>180.0</v>
      </c>
      <c r="G37" s="26">
        <v>70000.0</v>
      </c>
      <c r="H37" s="13">
        <f t="shared" si="8"/>
        <v>12600000</v>
      </c>
      <c r="I37" s="26">
        <v>18.0</v>
      </c>
      <c r="J37" s="13">
        <v>35000.0</v>
      </c>
      <c r="K37" s="13">
        <f t="shared" si="9"/>
        <v>630000</v>
      </c>
      <c r="L37" s="13">
        <f t="shared" si="10"/>
        <v>7560000</v>
      </c>
      <c r="M37" s="26">
        <v>25.0</v>
      </c>
      <c r="N37" s="13">
        <v>350000.0</v>
      </c>
      <c r="O37" s="13">
        <f t="shared" si="11"/>
        <v>8750000</v>
      </c>
      <c r="P37" s="26">
        <v>30.0</v>
      </c>
      <c r="Q37" s="13">
        <v>300000.0</v>
      </c>
      <c r="R37" s="13">
        <f t="shared" si="12"/>
        <v>450000</v>
      </c>
      <c r="S37" s="29">
        <f t="shared" si="13"/>
        <v>37760000</v>
      </c>
      <c r="T37" s="27">
        <f t="shared" si="14"/>
        <v>559762</v>
      </c>
      <c r="U37" s="29">
        <f t="shared" si="15"/>
        <v>6727134</v>
      </c>
      <c r="V37" s="27">
        <f t="shared" si="16"/>
        <v>393836.8</v>
      </c>
      <c r="W37" s="27">
        <f t="shared" si="17"/>
        <v>259411.2</v>
      </c>
      <c r="X37" s="29">
        <f t="shared" si="18"/>
        <v>7380382</v>
      </c>
    </row>
    <row r="38" ht="14.25" customHeight="1">
      <c r="A38" s="6">
        <v>3.0</v>
      </c>
      <c r="B38" s="26">
        <v>150.0</v>
      </c>
      <c r="C38" s="37">
        <v>7250.0</v>
      </c>
      <c r="D38" s="38">
        <f t="shared" si="6"/>
        <v>1087500</v>
      </c>
      <c r="E38" s="12">
        <f t="shared" si="7"/>
        <v>13050000</v>
      </c>
      <c r="F38" s="26">
        <v>250.0</v>
      </c>
      <c r="G38" s="26">
        <v>72500.0</v>
      </c>
      <c r="H38" s="13">
        <f t="shared" si="8"/>
        <v>18125000</v>
      </c>
      <c r="I38" s="26">
        <v>22.0</v>
      </c>
      <c r="J38" s="13">
        <v>37000.0</v>
      </c>
      <c r="K38" s="13">
        <f t="shared" si="9"/>
        <v>814000</v>
      </c>
      <c r="L38" s="13">
        <f t="shared" si="10"/>
        <v>9768000</v>
      </c>
      <c r="M38" s="26">
        <v>29.0</v>
      </c>
      <c r="N38" s="13">
        <v>370000.0</v>
      </c>
      <c r="O38" s="13">
        <f t="shared" si="11"/>
        <v>10730000</v>
      </c>
      <c r="P38" s="26">
        <v>55.0</v>
      </c>
      <c r="Q38" s="13">
        <v>300000.0</v>
      </c>
      <c r="R38" s="13">
        <f t="shared" si="12"/>
        <v>825000</v>
      </c>
      <c r="S38" s="29">
        <f t="shared" si="13"/>
        <v>52498000</v>
      </c>
      <c r="T38" s="27">
        <f t="shared" si="14"/>
        <v>559762</v>
      </c>
      <c r="U38" s="29">
        <f t="shared" si="15"/>
        <v>6727134</v>
      </c>
      <c r="V38" s="27">
        <f t="shared" si="16"/>
        <v>547554.14</v>
      </c>
      <c r="W38" s="27">
        <f t="shared" si="17"/>
        <v>360661.26</v>
      </c>
      <c r="X38" s="29">
        <f t="shared" si="18"/>
        <v>7635349.4</v>
      </c>
    </row>
    <row r="39" ht="14.25" customHeight="1">
      <c r="A39" s="6">
        <v>4.0</v>
      </c>
      <c r="B39" s="26">
        <v>220.0</v>
      </c>
      <c r="C39" s="37">
        <v>7250.0</v>
      </c>
      <c r="D39" s="38">
        <f t="shared" si="6"/>
        <v>1595000</v>
      </c>
      <c r="E39" s="12">
        <f t="shared" si="7"/>
        <v>19140000</v>
      </c>
      <c r="F39" s="26">
        <v>330.0</v>
      </c>
      <c r="G39" s="26">
        <v>72500.0</v>
      </c>
      <c r="H39" s="13">
        <f t="shared" si="8"/>
        <v>23925000</v>
      </c>
      <c r="I39" s="26">
        <v>28.0</v>
      </c>
      <c r="J39" s="13">
        <v>37000.0</v>
      </c>
      <c r="K39" s="13">
        <f t="shared" si="9"/>
        <v>1036000</v>
      </c>
      <c r="L39" s="13">
        <f t="shared" si="10"/>
        <v>12432000</v>
      </c>
      <c r="M39" s="26">
        <v>33.0</v>
      </c>
      <c r="N39" s="13">
        <v>370000.0</v>
      </c>
      <c r="O39" s="13">
        <f t="shared" si="11"/>
        <v>12210000</v>
      </c>
      <c r="P39" s="26">
        <v>75.0</v>
      </c>
      <c r="Q39" s="13">
        <v>300000.0</v>
      </c>
      <c r="R39" s="13">
        <f t="shared" si="12"/>
        <v>1125000</v>
      </c>
      <c r="S39" s="29">
        <f t="shared" si="13"/>
        <v>68832000</v>
      </c>
      <c r="T39" s="27">
        <f t="shared" si="14"/>
        <v>559762</v>
      </c>
      <c r="U39" s="29">
        <f t="shared" si="15"/>
        <v>6727134</v>
      </c>
      <c r="V39" s="27">
        <f t="shared" si="16"/>
        <v>717917.76</v>
      </c>
      <c r="W39" s="27">
        <f t="shared" si="17"/>
        <v>472875.84</v>
      </c>
      <c r="X39" s="29">
        <f t="shared" si="18"/>
        <v>7917927.6</v>
      </c>
    </row>
    <row r="40" ht="14.25" customHeight="1">
      <c r="A40" s="6">
        <v>5.0</v>
      </c>
      <c r="B40" s="32">
        <v>310.0</v>
      </c>
      <c r="C40" s="37">
        <v>7500.0</v>
      </c>
      <c r="D40" s="38">
        <f t="shared" si="6"/>
        <v>2325000</v>
      </c>
      <c r="E40" s="12">
        <f t="shared" si="7"/>
        <v>27900000</v>
      </c>
      <c r="F40" s="26">
        <v>350.0</v>
      </c>
      <c r="G40" s="26">
        <v>75000.0</v>
      </c>
      <c r="H40" s="13">
        <f t="shared" si="8"/>
        <v>26250000</v>
      </c>
      <c r="I40" s="26">
        <v>37.0</v>
      </c>
      <c r="J40" s="13">
        <v>39000.0</v>
      </c>
      <c r="K40" s="13">
        <f t="shared" si="9"/>
        <v>1443000</v>
      </c>
      <c r="L40" s="13">
        <f t="shared" si="10"/>
        <v>17316000</v>
      </c>
      <c r="M40" s="26">
        <v>45.0</v>
      </c>
      <c r="N40" s="13">
        <v>390000.0</v>
      </c>
      <c r="O40" s="13">
        <f t="shared" si="11"/>
        <v>17550000</v>
      </c>
      <c r="P40" s="26">
        <v>100.0</v>
      </c>
      <c r="Q40" s="13">
        <v>300000.0</v>
      </c>
      <c r="R40" s="13">
        <f t="shared" si="12"/>
        <v>1500000</v>
      </c>
      <c r="S40" s="29">
        <f t="shared" si="13"/>
        <v>90516000</v>
      </c>
      <c r="T40" s="27">
        <f t="shared" si="14"/>
        <v>559762</v>
      </c>
      <c r="U40" s="29">
        <f t="shared" si="15"/>
        <v>6727134</v>
      </c>
      <c r="V40" s="27">
        <f t="shared" si="16"/>
        <v>944081.88</v>
      </c>
      <c r="W40" s="27">
        <f t="shared" si="17"/>
        <v>621844.92</v>
      </c>
      <c r="X40" s="29">
        <f t="shared" si="18"/>
        <v>8293060.8</v>
      </c>
    </row>
    <row r="41" ht="14.25" customHeight="1"/>
    <row r="42" ht="14.25" customHeight="1"/>
    <row r="43" ht="14.25" customHeight="1">
      <c r="A43" s="4" t="s">
        <v>38</v>
      </c>
      <c r="B43" s="3"/>
      <c r="C43" s="18"/>
      <c r="G43" s="33"/>
    </row>
    <row r="44" ht="14.25" customHeight="1">
      <c r="A44" s="6" t="s">
        <v>39</v>
      </c>
      <c r="B44" s="12">
        <f>B11</f>
        <v>2600000</v>
      </c>
    </row>
    <row r="45" ht="14.25" customHeight="1">
      <c r="A45" s="6" t="s">
        <v>40</v>
      </c>
      <c r="B45" s="12">
        <f>B44/10</f>
        <v>260000</v>
      </c>
    </row>
    <row r="46" ht="14.25" customHeight="1">
      <c r="A46" s="6" t="s">
        <v>41</v>
      </c>
      <c r="B46" s="16">
        <v>5.0</v>
      </c>
    </row>
    <row r="47" ht="14.25" customHeight="1">
      <c r="A47" s="6" t="s">
        <v>42</v>
      </c>
      <c r="B47" s="12">
        <f>B44-B45</f>
        <v>2340000</v>
      </c>
    </row>
    <row r="48" ht="14.25" customHeight="1">
      <c r="A48" s="6" t="s">
        <v>43</v>
      </c>
      <c r="B48" s="12">
        <f>B47/B46</f>
        <v>468000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>
      <c r="A187" s="39"/>
    </row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3">
    <mergeCell ref="A1:D1"/>
    <mergeCell ref="A3:B3"/>
    <mergeCell ref="A43:B4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2025-04-24T15:34:18Z</dcterms:created>
  <dc:creator>SSDD</dc:creator>
</cp:coreProperties>
</file>