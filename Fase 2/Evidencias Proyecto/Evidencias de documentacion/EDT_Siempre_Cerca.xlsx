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Diccionario" sheetId="2" r:id="rId5"/>
    <sheet state="visible" name="Recursos" sheetId="3" r:id="rId6"/>
  </sheets>
  <definedNames/>
  <calcPr/>
  <extLst>
    <ext uri="GoogleSheetsCustomDataVersion2">
      <go:sheetsCustomData xmlns:go="http://customooxmlschemas.google.com/" r:id="rId7" roundtripDataChecksum="R10wcWUexN3sbMOTmqM272zMm/mDRPwjwyOPtmkP2Ss="/>
    </ext>
  </extLst>
</workbook>
</file>

<file path=xl/sharedStrings.xml><?xml version="1.0" encoding="utf-8"?>
<sst xmlns="http://schemas.openxmlformats.org/spreadsheetml/2006/main" count="389" uniqueCount="316">
  <si>
    <t>Nivel</t>
  </si>
  <si>
    <t>EDT - Matriz Estructura de descomposición de tareas</t>
  </si>
  <si>
    <t>Código EDT</t>
  </si>
  <si>
    <t>Nombre de elemento</t>
  </si>
  <si>
    <t>Definición</t>
  </si>
  <si>
    <t>Organización Responsable</t>
  </si>
  <si>
    <t>Supuestos</t>
  </si>
  <si>
    <t>Restricciones</t>
  </si>
  <si>
    <t>Riesgos</t>
  </si>
  <si>
    <t>Consideraciones</t>
  </si>
  <si>
    <t>Siempre Cerca</t>
  </si>
  <si>
    <t>Proyecto APT orientado al desarrollo de una aplicación móvil de asistencia y monitoreo preventivo para adultos mayores independientes, con apoyo a cuidadores y familiares.</t>
  </si>
  <si>
    <t>Equipo Grupo 05</t>
  </si>
  <si>
    <t>El equipo dispone de las herramientas y servicios definidos para desarrollar el proyecto.</t>
  </si>
  <si>
    <t>El desarrollo está condicionado por el calendario académico y el alcance priorizado.</t>
  </si>
  <si>
    <t>Cambios de alcance o retrasos pueden afectar los entregables planificados.</t>
  </si>
  <si>
    <t>El proyecto se desarrolla de forma incremental y con validación progresiva.</t>
  </si>
  <si>
    <t>DIAS</t>
  </si>
  <si>
    <t>Análisis del Proyecto</t>
  </si>
  <si>
    <t>Etapa destinada a comprender la problemática, evaluar la propuesta y definir formalmente el proyecto y su visión.</t>
  </si>
  <si>
    <t>Equipo de proyecto</t>
  </si>
  <si>
    <t>Se cuenta con información suficiente para analizar la necesidad y proponer una solución.</t>
  </si>
  <si>
    <t>El análisis debe ajustarse al contexto académico y a la información disponible.</t>
  </si>
  <si>
    <t>Una definición inicial incompleta puede provocar retrabajo en etapas posteriores.</t>
  </si>
  <si>
    <t>Consolida la base conceptual para los requisitos y el diseño.</t>
  </si>
  <si>
    <t>HORAS POR ACTIVIDAD O ENTREGABLE</t>
  </si>
  <si>
    <t>Análisis de la problemática y solución</t>
  </si>
  <si>
    <t>Identificar la problemática que afecta a adultos mayores independientes y plantear una solución tecnológica alineada con sus necesidades.</t>
  </si>
  <si>
    <t>La problemática puede ser caracterizada mediante información de usuarios y actores relacionados.</t>
  </si>
  <si>
    <t>La solución debe ser viable con las tecnologías y recursos disponibles.</t>
  </si>
  <si>
    <t>Una comprensión insuficiente de la problemática puede conducir a funciones poco pertinentes.</t>
  </si>
  <si>
    <t>Considerar seguridad, acompañamiento, comunicación y facilidad de uso.</t>
  </si>
  <si>
    <t>Evaluación del proyecto</t>
  </si>
  <si>
    <t>Analizar la viabilidad inicial del proyecto considerando beneficios, alcance, recursos, riesgos y factibilidad.</t>
  </si>
  <si>
    <t>Melanie Ortiz / Paul Hidalgo</t>
  </si>
  <si>
    <t>Se dispone de antecedentes para realizar una evaluación preliminar.</t>
  </si>
  <si>
    <t>La evaluación se realiza con información disponible durante la etapa académica.</t>
  </si>
  <si>
    <t>Subestimar costos, esfuerzo o dependencias puede afectar la planificación.</t>
  </si>
  <si>
    <t>La evaluación apoya la decisión de continuar y priorizar el proyecto.</t>
  </si>
  <si>
    <t>Acta de constitución</t>
  </si>
  <si>
    <t>Formalizar el inicio del proyecto, su propósito, objetivos generales, participantes, alcance inicial y responsabilidades principales.</t>
  </si>
  <si>
    <t>Melanie Ortiz / Equipo de proyecto</t>
  </si>
  <si>
    <t>Los integrantes y objetivos iniciales del proyecto están definidos.</t>
  </si>
  <si>
    <t>Debe mantener coherencia con el alcance aprobado para el Capstone.</t>
  </si>
  <si>
    <t>Cambios posteriores pueden requerir actualizar acuerdos iniciales.</t>
  </si>
  <si>
    <t>Sirve como documento base de autorización y organización del proyecto.</t>
  </si>
  <si>
    <t>El nombre del elemento se mantiene tal como aparece en la EDT actualizada.</t>
  </si>
  <si>
    <t>Descubrimiento y visión</t>
  </si>
  <si>
    <t>Definir la visión del producto, usuarios objetivo, necesidades principales y valor que entregará Siempre Cerca.</t>
  </si>
  <si>
    <t>Las necesidades principales de adultos mayores y cuidadores pueden ser identificadas.</t>
  </si>
  <si>
    <t>La visión debe mantenerse dentro del alcance y tiempo del proyecto.</t>
  </si>
  <si>
    <t>Una visión poco clara puede generar prioridades contradictorias.</t>
  </si>
  <si>
    <t>La visión guía las decisiones de producto y la priorización posterior.</t>
  </si>
  <si>
    <t>Definición del producto</t>
  </si>
  <si>
    <t>Delimitar el producto, sus componentes, funcionalidades principales, usuarios y resultados esperados.</t>
  </si>
  <si>
    <t>La visión y problemática ya se encuentran suficientemente definidas.</t>
  </si>
  <si>
    <t>El producto debe ajustarse al tiempo académico y recursos disponibles.</t>
  </si>
  <si>
    <t>Un alcance demasiado amplio puede generar funcionalidades incompletas.</t>
  </si>
  <si>
    <t>Considerar aplicación móvil, servicios backend, base de datos y funciones de asistencia.</t>
  </si>
  <si>
    <t>Especificación de requisitos</t>
  </si>
  <si>
    <t>Etapa destinada a documentar los requisitos funcionales y no funcionales, historias de usuario y reglas de negocio del sistema.</t>
  </si>
  <si>
    <t>Los requerimientos pueden refinarse con la retroalimentación obtenida durante el proyecto.</t>
  </si>
  <si>
    <t>Los requisitos deben ser trazables y coherentes con el alcance aprobado.</t>
  </si>
  <si>
    <t>Cambios frecuentes de requisitos pueden producir retrabajo y retrasos.</t>
  </si>
  <si>
    <t>Es la base para diseño, desarrollo y pruebas.</t>
  </si>
  <si>
    <t>Requisitos Funcionales</t>
  </si>
  <si>
    <t>Definir las funciones que debe proporcionar Siempre Cerca para los roles de adulto mayor y cuidador/familiar.</t>
  </si>
  <si>
    <t>Paul Hidalgo / Equipo de proyecto</t>
  </si>
  <si>
    <t>Las necesidades de los usuarios pueden convertirse en funciones concretas.</t>
  </si>
  <si>
    <t>Las funciones deben mantenerse dentro del alcance priorizado.</t>
  </si>
  <si>
    <t>Requisitos ambiguos o duplicados pueden causar implementaciones incorrectas.</t>
  </si>
  <si>
    <t>Relacionar cada requisito con historias de usuario y pruebas cuando corresponda.</t>
  </si>
  <si>
    <t>Requisitos No Funcionales</t>
  </si>
  <si>
    <t>Definir criterios de calidad relacionados con seguridad, usabilidad, accesibilidad, compatibilidad, rendimiento y disponibilidad.</t>
  </si>
  <si>
    <t>Héctor Cornejo / Equipo de proyecto</t>
  </si>
  <si>
    <t>Los principales atributos de calidad pueden evaluarse con los recursos disponibles.</t>
  </si>
  <si>
    <t>Las pruebas especializadas pueden estar limitadas por tiempo, dispositivos y herramientas.</t>
  </si>
  <si>
    <t>Criterios poco medibles pueden dificultar su validación.</t>
  </si>
  <si>
    <t>Priorizar seguridad, accesibilidad y funcionamiento en Android.</t>
  </si>
  <si>
    <t>Creación de historias de usuarios</t>
  </si>
  <si>
    <t>Redactar historias de usuario que representen necesidades concretas de adultos mayores y cuidadores, incluyendo su valor esperado.</t>
  </si>
  <si>
    <t>Los requisitos se encuentran suficientemente definidos para expresarlos como historias.</t>
  </si>
  <si>
    <t>Las historias deben ser comprensibles, priorizables y verificables.</t>
  </si>
  <si>
    <t>Una cantidad excesiva de historias puede ampliar el alcance.</t>
  </si>
  <si>
    <t>Mantener identificadores estables para facilitar trazabilidad con el Product Backlog.</t>
  </si>
  <si>
    <t>Especificación de reglas de negocio</t>
  </si>
  <si>
    <t>Documentar condiciones, validaciones y reglas que controlan el comportamiento de los procesos y funcionalidades del sistema.</t>
  </si>
  <si>
    <t>Las reglas pueden derivarse de requisitos, roles y flujos definidos.</t>
  </si>
  <si>
    <t>Las reglas deben respetar privacidad, seguridad y alcance del proyecto.</t>
  </si>
  <si>
    <t>Reglas contradictorias pueden generar errores de lógica.</t>
  </si>
  <si>
    <t>Considerar roles, vinculación, permisos, estados y restricciones de acceso.</t>
  </si>
  <si>
    <t>Diseño del proyecto</t>
  </si>
  <si>
    <t>Etapa en la que se define la arquitectura, estructura de datos, interfaz y mecanismos de seguridad de la solución.</t>
  </si>
  <si>
    <t>Paul Hidalgo / Ángel Rengifo / Héctor Cornejo</t>
  </si>
  <si>
    <t>Las tecnologías seleccionadas permiten cubrir el alcance del producto.</t>
  </si>
  <si>
    <t>El diseño debe ser compatible principalmente con Android e integrarse con Supabase.</t>
  </si>
  <si>
    <t>Cambios tardíos de diseño pueden afectar el desarrollo ya realizado.</t>
  </si>
  <si>
    <t>Debe mantener coherencia entre arquitectura, datos, interfaz y seguridad.</t>
  </si>
  <si>
    <t>Diseño de la arquitectura</t>
  </si>
  <si>
    <t>Definir la relación entre aplicación móvil, backend, base de datos y servicios externos utilizados por Siempre Cerca.</t>
  </si>
  <si>
    <t>Paul Hidalgo / Ángel Rengifo</t>
  </si>
  <si>
    <t>Ionic, Angular, Supabase y PostgreSQL soportan la solución planteada.</t>
  </si>
  <si>
    <t>Existe dependencia de conectividad y servicios externos.</t>
  </si>
  <si>
    <t>Cambios de arquitectura durante la integración pueden producir retrabajo.</t>
  </si>
  <si>
    <t>La arquitectura considera aplicación móvil, servicios de Supabase y base de datos centralizada.</t>
  </si>
  <si>
    <t>Modelamiento de la base de datos</t>
  </si>
  <si>
    <t>Identificar entidades, atributos y relaciones necesarias para representar la información del sistema.</t>
  </si>
  <si>
    <t>Ángel Rengifo</t>
  </si>
  <si>
    <t>Los requisitos permiten identificar los datos principales del proyecto.</t>
  </si>
  <si>
    <t>El modelo debe ser coherente con PostgreSQL y los servicios de Supabase.</t>
  </si>
  <si>
    <t>Cambios funcionales pueden requerir modificar entidades o relaciones.</t>
  </si>
  <si>
    <t>Considerar usuarios, vínculos, ubicación, alertas, zonas, recordatorios e historial.</t>
  </si>
  <si>
    <t>Diseño de la base de datos</t>
  </si>
  <si>
    <t>Transformar el modelo de datos en una estructura lógica de tablas, claves, relaciones, restricciones y políticas de acceso.</t>
  </si>
  <si>
    <t>Ángel Rengifo / Development Team</t>
  </si>
  <si>
    <t>El modelo de datos se encuentra validado para ser implementado.</t>
  </si>
  <si>
    <t>La implementación debe respetar integridad y políticas RLS.</t>
  </si>
  <si>
    <t>Errores en relaciones o permisos pueden afectar múltiples funcionalidades.</t>
  </si>
  <si>
    <t>DICCIONARIO EDT</t>
  </si>
  <si>
    <t>Mantener consistencia entre estructura de datos y servicios de la aplicación.</t>
  </si>
  <si>
    <t>Creación de Mockup</t>
  </si>
  <si>
    <t>Diseñar representaciones visuales de las principales pantallas y flujos antes o durante la implementación.</t>
  </si>
  <si>
    <t>La retroalimentación de usuarios permite orientar las decisiones de interfaz.</t>
  </si>
  <si>
    <t>Debe considerar tamaño de pantalla, legibilidad y simplicidad.</t>
  </si>
  <si>
    <t>Textos pequeños o elementos poco claros pueden afectar la usabilidad.</t>
  </si>
  <si>
    <t>Considerar botones visibles, contraste adecuado y navegación simple.</t>
  </si>
  <si>
    <t>Diseño de Seguridad</t>
  </si>
  <si>
    <t>Definir controles de autenticación, autorización, roles, sesiones, RLS y protección de información sensible.</t>
  </si>
  <si>
    <t>Ángel Rengifo / Equipo de proyecto</t>
  </si>
  <si>
    <t>Supabase Auth y las políticas de seguridad permiten implementar los controles necesarios.</t>
  </si>
  <si>
    <t>No deben exponerse credenciales, tokens ni datos personales sensibles.</t>
  </si>
  <si>
    <t>Una configuración incorrecta puede permitir accesos no autorizados.</t>
  </si>
  <si>
    <t>Aplicar permisos según rol y relación de vinculación.</t>
  </si>
  <si>
    <t>Analisis del Proyecto</t>
  </si>
  <si>
    <t>Planificación Ágil y Desarrollo del proyecto</t>
  </si>
  <si>
    <t>Etapa que organiza el trabajo ágil, prioriza entregables y ejecuta el desarrollo e integración de la solución.</t>
  </si>
  <si>
    <t>El Product Backlog puede actualizarse de acuerdo con el avance y la validación.</t>
  </si>
  <si>
    <t>El desarrollo está limitado por la disponibilidad del equipo y el calendario académico.</t>
  </si>
  <si>
    <t>Retrasos, dependencias o aumento de alcance pueden afectar los Sprint.</t>
  </si>
  <si>
    <t>Se utiliza Scrum, Trello y control de versiones para organizar el trabajo.</t>
  </si>
  <si>
    <t>Desarrollo de Épicas</t>
  </si>
  <si>
    <t>Agrupar funcionalidades relacionadas en épicas para organizar el alcance del producto a alto nivel.</t>
  </si>
  <si>
    <t>Las historias y requisitos pueden agruparse por objetivos funcionales comunes.</t>
  </si>
  <si>
    <t>Las épicas deben mantenerse coherentes con el alcance del proyecto.</t>
  </si>
  <si>
    <t>Una agrupación poco clara puede dificultar la planificación.</t>
  </si>
  <si>
    <t>Las épicas facilitan la organización del Product Backlog y los releases.</t>
  </si>
  <si>
    <t>Creación y priorización del Product Backlog</t>
  </si>
  <si>
    <t>Consolidar las historias de usuario y ordenarlas según valor, necesidad, dependencia y prioridad.</t>
  </si>
  <si>
    <t>Las historias cuentan con información suficiente para ser priorizadas.</t>
  </si>
  <si>
    <t>El backlog debe reflejar la capacidad y tiempo disponible.</t>
  </si>
  <si>
    <t>Una priorización inadecuada puede dejar funciones críticas pendientes.</t>
  </si>
  <si>
    <t>Mantener el backlog actualizado a medida que avanza el proyecto.</t>
  </si>
  <si>
    <t>Definición de entregables</t>
  </si>
  <si>
    <t>Establecer los productos, documentos y funcionalidades que deben quedar disponibles durante y al cierre del proyecto.</t>
  </si>
  <si>
    <t>El alcance permite identificar entregables verificables.</t>
  </si>
  <si>
    <t>Los entregables deben ajustarse a los requisitos académicos y del producto.</t>
  </si>
  <si>
    <t>Entregables mal definidos pueden generar diferencias de expectativa.</t>
  </si>
  <si>
    <t>Relacionar entregables con requisitos, backlog y releases.</t>
  </si>
  <si>
    <t>Mapa de Historias de Usuario</t>
  </si>
  <si>
    <t>Organizar las historias de usuario según actividades, flujo y prioridad para visualizar la evolución del producto.</t>
  </si>
  <si>
    <t>Las historias principales ya están identificadas.</t>
  </si>
  <si>
    <t>El mapa debe mantenerse entendible y alineado con la priorización.</t>
  </si>
  <si>
    <t>Cambios frecuentes pueden desactualizar el mapa.</t>
  </si>
  <si>
    <t>Utilizarlo como apoyo para releases y selección de funcionalidades.</t>
  </si>
  <si>
    <t>Plan de lanzamiento</t>
  </si>
  <si>
    <t>Definir la distribución incremental de funcionalidades y entregables en releases o versiones del proyecto.</t>
  </si>
  <si>
    <t>Las funcionalidades pueden agruparse según dependencias y prioridad.</t>
  </si>
  <si>
    <t>Las fechas dependen de la capacidad real del equipo.</t>
  </si>
  <si>
    <t>Retrasos en historias críticas pueden desplazar entregas posteriores.</t>
  </si>
  <si>
    <t>Alinear el plan con los Sprint y el cierre académico.</t>
  </si>
  <si>
    <t>Sprint 1 - Diseño del sistema</t>
  </si>
  <si>
    <t>Ejecutar el primer Sprint orientado a establecer la base funcional del sistema, incluyendo cuenta, acceso, roles y estructura inicial.</t>
  </si>
  <si>
    <t>Las historias seleccionadas para el Sprint cuentan con definición suficiente.</t>
  </si>
  <si>
    <t>Duración y capacidad del Sprint se encuentran limitadas por disponibilidad del equipo.</t>
  </si>
  <si>
    <t>Problemas iniciales de configuración o integración pueden afectar el avance.</t>
  </si>
  <si>
    <t>Controlar tareas y estado mediante el Scrum Board.</t>
  </si>
  <si>
    <t>Base de datos</t>
  </si>
  <si>
    <t>Implementar y ajustar la base de datos necesaria para almacenar información y soportar las funcionalidades del sistema.</t>
  </si>
  <si>
    <t>El diseño de datos permite crear las estructuras requeridas.</t>
  </si>
  <si>
    <t>La implementación depende del entorno PostgreSQL/Supabase.</t>
  </si>
  <si>
    <t>Errores de relaciones, migraciones o permisos pueden afectar la aplicación.</t>
  </si>
  <si>
    <t>Verificar tablas, relaciones, políticas RLS y consultas.</t>
  </si>
  <si>
    <t>Desarrollo de funcionalidades</t>
  </si>
  <si>
    <t>Construir las funcionalidades priorizadas para adulto mayor y cuidador, incluyendo asistencia, ubicación, comunicación, accesibilidad y juegos.</t>
  </si>
  <si>
    <t>Development Team</t>
  </si>
  <si>
    <t>Las historias seleccionadas cuentan con criterios suficientes para ser desarrolladas.</t>
  </si>
  <si>
    <t>El tiempo disponible puede impedir desarrollar funcionalidades de baja prioridad.</t>
  </si>
  <si>
    <t>Errores técnicos o crecimiento de alcance pueden generar pendientes.</t>
  </si>
  <si>
    <t>Desarrollar de forma incremental y registrar cambios relevantes.</t>
  </si>
  <si>
    <t>Integración del sistema</t>
  </si>
  <si>
    <t>Conectar frontend, servicios, base de datos, notificaciones, mapas y demás componentes para operar como una solución integrada.</t>
  </si>
  <si>
    <t>Los componentes principales se encuentran disponibles para ser integrados.</t>
  </si>
  <si>
    <t>Existe dependencia de conectividad, permisos del dispositivo y servicios externos.</t>
  </si>
  <si>
    <t>Incompatibilidades entre componentes pueden provocar fallas funcionales.</t>
  </si>
  <si>
    <t>Realizar integración progresiva y pruebas antes de considerar una función terminada.</t>
  </si>
  <si>
    <t>Pruebas y Validaciones</t>
  </si>
  <si>
    <t>Etapa destinada a planificar, ejecutar y documentar pruebas, corregir defectos y validar la solución con usuarios.</t>
  </si>
  <si>
    <t>Se dispone de versiones ejecutables y dispositivos para realizar pruebas.</t>
  </si>
  <si>
    <t>El tiempo y recursos limitan el alcance de pruebas especializadas.</t>
  </si>
  <si>
    <t>Defectos no detectados pueden llegar a la entrega final.</t>
  </si>
  <si>
    <t>Registrar resultados, defectos, correcciones y re-pruebas.</t>
  </si>
  <si>
    <t>Plan de pruebas de calidad</t>
  </si>
  <si>
    <t>Definir casos, criterios, tipos de prueba, responsables y condiciones para verificar la calidad de Siempre Cerca.</t>
  </si>
  <si>
    <t>Héctor Cornejo</t>
  </si>
  <si>
    <t>Los requisitos e historias permiten derivar casos de prueba.</t>
  </si>
  <si>
    <t>El plan debe ajustarse a los recursos y tiempo disponibles.</t>
  </si>
  <si>
    <t>Una cobertura insuficiente puede dejar defectos sin detectar.</t>
  </si>
  <si>
    <t>Incluir pruebas funcionales y no funcionales priorizadas.</t>
  </si>
  <si>
    <t>Pruebas Funcionales</t>
  </si>
  <si>
    <t>Comprobar que las funciones implementadas se comporten de acuerdo con los requisitos y criterios definidos.</t>
  </si>
  <si>
    <t>Las funcionalidades prioritarias están disponibles para ejecución de pruebas.</t>
  </si>
  <si>
    <t>Las pruebas dependen del estado de integración de cada módulo.</t>
  </si>
  <si>
    <t>Errores de lógica, validación o flujo pueden impedir el uso correcto.</t>
  </si>
  <si>
    <t>Registrar evidencia, resultado esperado, resultado obtenido y estado.</t>
  </si>
  <si>
    <t>Pruebas No Funcionales</t>
  </si>
  <si>
    <t>ROL</t>
  </si>
  <si>
    <t>Evaluar aspectos de seguridad, usabilidad, accesibilidad, compatibilidad y rendimiento de la solución.</t>
  </si>
  <si>
    <t>Se pueden ejecutar verificaciones básicas con los recursos disponibles.</t>
  </si>
  <si>
    <t>Pruebas avanzadas de carga o seguridad pueden estar limitadas.</t>
  </si>
  <si>
    <t>Algunos atributos pueden quedar evaluados de forma parcial.</t>
  </si>
  <si>
    <t>Priorizar condiciones relevantes para adultos mayores y dispositivos Android.</t>
  </si>
  <si>
    <t>SIGLA</t>
  </si>
  <si>
    <t>Corrección de errores y ajustes</t>
  </si>
  <si>
    <t>NOMBRE</t>
  </si>
  <si>
    <t>Resolver defectos detectados durante las pruebas y realizar ajustes necesarios antes de volver a probar.</t>
  </si>
  <si>
    <t>Paul Hidalgo / Ángel Rengifo / Equipo de proyecto</t>
  </si>
  <si>
    <t>COSTO x HORA</t>
  </si>
  <si>
    <t>Los defectos críticos pueden corregirse dentro del periodo disponible.</t>
  </si>
  <si>
    <t>El tiempo restante determina qué defectos pueden ser abordados.</t>
  </si>
  <si>
    <t>Las correcciones pueden introducir regresiones o nuevos problemas.</t>
  </si>
  <si>
    <t>Usar el listado de defectos, control de cambios y re-pruebas para mantener trazabilidad.</t>
  </si>
  <si>
    <t>Validación del proyecto</t>
  </si>
  <si>
    <t>Presentar la solución a usuarios o actores vinculados al proyecto y recopilar retroalimentación sobre utilidad e interfaz.</t>
  </si>
  <si>
    <t>Existe disponibilidad de usuarios representativos para participar en actividades de validación.</t>
  </si>
  <si>
    <t>La cantidad de participantes depende de la coordinación con actores externos.</t>
  </si>
  <si>
    <t>Una muestra reducida puede limitar la generalización de resultados.</t>
  </si>
  <si>
    <t>Considerar resultados de encuestas e intervenciones con adultos mayores.</t>
  </si>
  <si>
    <t>Evaluación y factibilidad económica.</t>
  </si>
  <si>
    <t>Analizar costos estimados, recursos y sostenibilidad básica de la solución para determinar su factibilidad económica.</t>
  </si>
  <si>
    <t>Es posible estimar costos principales de desarrollo, servicios y operación.</t>
  </si>
  <si>
    <t>Las estimaciones dependen de precios, planes y supuestos disponibles.</t>
  </si>
  <si>
    <t>Cambios de servicios o escalamiento pueden modificar los costos.</t>
  </si>
  <si>
    <t>Distinguir costos académicos actuales de costos potenciales de operación real.</t>
  </si>
  <si>
    <t>Despliegue y Cierre del proyecto</t>
  </si>
  <si>
    <t>Etapa final destinada a documentar el despliegue, preparar manuales, definir continuidad y formalizar el cierre del proyecto.</t>
  </si>
  <si>
    <t>Las funcionalidades prioritarias estarán suficientemente integradas para documentar su operación.</t>
  </si>
  <si>
    <t>El cierre está condicionado por la fecha límite académica.</t>
  </si>
  <si>
    <t>Pendientes técnicos pueden quedar registrados como mejoras futuras.</t>
  </si>
  <si>
    <t>Consolidar documentación técnica, de usuario, continuidad y cierre.</t>
  </si>
  <si>
    <t>Arquitectura de despliegue</t>
  </si>
  <si>
    <t>Documentar dónde se ejecutan los componentes de la solución y cómo se comunican la aplicación, backend, base de datos y servicios externos.</t>
  </si>
  <si>
    <t>Product Owner</t>
  </si>
  <si>
    <t>La arquitectura final es suficientemente estable para ser documentada.</t>
  </si>
  <si>
    <t>La disponibilidad de servicios depende de proveedores externos y conectividad.</t>
  </si>
  <si>
    <t>Cambios finales de infraestructura pueden desactualizar la documentación.</t>
  </si>
  <si>
    <t>El código EDT se conserva exactamente como aparece en la pestaña EDT.</t>
  </si>
  <si>
    <t>PO</t>
  </si>
  <si>
    <t>Manual de instalación</t>
  </si>
  <si>
    <t>Documentar prerrequisitos, configuración y pasos necesarios para preparar y ejecutar la solución.</t>
  </si>
  <si>
    <t>Héctor Cornejo / Ángel Rengifo</t>
  </si>
  <si>
    <t>Las dependencias y configuraciones finales pueden ser identificadas.</t>
  </si>
  <si>
    <t>No deben incluirse contraseñas, tokens ni credenciales reales.</t>
  </si>
  <si>
    <t>Instrucciones incompletas pueden impedir reproducir el entorno.</t>
  </si>
  <si>
    <t>Melanie Ortiz</t>
  </si>
  <si>
    <t>Incluir herramientas, dependencias y configuración necesaria para Android y servicios.</t>
  </si>
  <si>
    <t>Manual de usuario</t>
  </si>
  <si>
    <t>Explicar el uso de las principales funcionalidades de Siempre Cerca para los roles definidos.</t>
  </si>
  <si>
    <t>Evaluación del proyecto.</t>
  </si>
  <si>
    <t>Scrum Master</t>
  </si>
  <si>
    <t>SM</t>
  </si>
  <si>
    <t>Héctor Cornejo / Melanie Ortiz</t>
  </si>
  <si>
    <t>Paul Hidalgo</t>
  </si>
  <si>
    <t>Las funcionalidades principales ya se encuentran definidas.</t>
  </si>
  <si>
    <t>El manual debe reflejar la versión final disponible.</t>
  </si>
  <si>
    <t>Cambios tardíos de interfaz pueden dejar instrucciones desactualizadas.</t>
  </si>
  <si>
    <t>Priorizar pasos simples, lenguaje claro y diferencias entre adulto mayor y cuidador.</t>
  </si>
  <si>
    <t>Desarrollador</t>
  </si>
  <si>
    <t>Plan de continuidad y mantenimiento</t>
  </si>
  <si>
    <t>D1</t>
  </si>
  <si>
    <t>Definir acciones básicas de respaldo, recuperación, actualización, monitoreo y mantenimiento de la solución.</t>
  </si>
  <si>
    <t>Angel Rengifo</t>
  </si>
  <si>
    <t>La solución puede mantenerse con las tecnologías y servicios seleccionados.</t>
  </si>
  <si>
    <t>Existe dependencia de Supabase y otros servicios de terceros.</t>
  </si>
  <si>
    <t>Fallas de servicios, datos o dependencias pueden afectar la continuidad.</t>
  </si>
  <si>
    <t>Identificación de stakeholders</t>
  </si>
  <si>
    <t>Considerar respaldos, control de versiones y revisión periódica de dependencias.</t>
  </si>
  <si>
    <t>Cierre del proyecto.</t>
  </si>
  <si>
    <t>Formalizar los resultados finales, entregables, lecciones aprendidas, pendientes y cierre académico de Siempre Cerca.</t>
  </si>
  <si>
    <t>D2</t>
  </si>
  <si>
    <t>Los entregables principales estarán disponibles para revisión.</t>
  </si>
  <si>
    <t>Hector Cornejo</t>
  </si>
  <si>
    <t>La fecha de cierre académico limita nuevas incorporaciones.</t>
  </si>
  <si>
    <t>Pendientes no resueltos pueden quedar fuera de la versión final.</t>
  </si>
  <si>
    <t>Registrar claramente lo completado, lo pendiente y posibles mejoras futuras.</t>
  </si>
  <si>
    <t>Descubrimiento y visión.</t>
  </si>
  <si>
    <t>COSTO POR FASE</t>
  </si>
  <si>
    <t>Fase de Planificación</t>
  </si>
  <si>
    <t>Fase de Análisis y Diseño</t>
  </si>
  <si>
    <t>Fase de Implementación y Cierre</t>
  </si>
  <si>
    <t>Creación de historias de usuarios.</t>
  </si>
  <si>
    <t>Especificación de reglas de negocio.</t>
  </si>
  <si>
    <t>TOTAL HH FASES</t>
  </si>
  <si>
    <t>Modelamiento de la base de datos.</t>
  </si>
  <si>
    <t>COSTO HH POR ROL</t>
  </si>
  <si>
    <t>Creación y priorización del Product Backlog.</t>
  </si>
  <si>
    <t>FASE 1</t>
  </si>
  <si>
    <t>FASE 2</t>
  </si>
  <si>
    <t>FASE 3</t>
  </si>
  <si>
    <t>FASE 4</t>
  </si>
  <si>
    <t>FASE 5</t>
  </si>
  <si>
    <t>FASE 6</t>
  </si>
  <si>
    <t>Sprint 2 - Base de datos</t>
  </si>
  <si>
    <t>Sprint 3 - Desarrollo de funcionalidades</t>
  </si>
  <si>
    <t>Sprint 4 - Integración del sistema</t>
  </si>
  <si>
    <t xml:space="preserve">TOTAL </t>
  </si>
  <si>
    <t>Horas trabajadas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</si>
</sst>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[$$]#,##0"/>
    <numFmt numFmtId="166" formatCode="_ &quot;$&quot;* #,##0_ ;_ &quot;$&quot;* \-#,##0_ ;_ &quot;$&quot;* &quot;-&quot;_ ;_ @_ "/>
  </numFmts>
  <fonts count="11">
    <font>
      <sz val="11.0"/>
      <color rgb="FF000000"/>
      <name val="Carlito"/>
      <scheme val="minor"/>
    </font>
    <font>
      <sz val="11.0"/>
      <color theme="1"/>
      <name val="Calibri"/>
    </font>
    <font>
      <b/>
      <sz val="11.0"/>
      <color rgb="FF1F1F1F"/>
      <name val="Carlito"/>
    </font>
    <font>
      <sz val="16.0"/>
      <color theme="1"/>
      <name val="Calibri"/>
    </font>
    <font>
      <sz val="11.0"/>
      <color rgb="FF000000"/>
      <name val="Carlito"/>
    </font>
    <font/>
    <font>
      <color theme="1"/>
      <name val="Carlito"/>
      <scheme val="minor"/>
    </font>
    <font>
      <b/>
      <sz val="11.0"/>
      <color rgb="FFFFFFFF"/>
      <name val="Calibri"/>
    </font>
    <font>
      <color rgb="FF444441"/>
      <name val="Calibri"/>
    </font>
    <font>
      <b/>
      <sz val="12.0"/>
      <color theme="1"/>
      <name val="Calibri"/>
    </font>
    <font>
      <sz val="12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ADB9CA"/>
        <bgColor rgb="FFADB9CA"/>
      </patternFill>
    </fill>
    <fill>
      <patternFill patternType="solid">
        <fgColor rgb="FF4A3FB5"/>
        <bgColor rgb="FF4A3FB5"/>
      </patternFill>
    </fill>
    <fill>
      <patternFill patternType="solid">
        <fgColor rgb="FF7F77DD"/>
        <bgColor rgb="FF7F77DD"/>
      </patternFill>
    </fill>
    <fill>
      <patternFill patternType="solid">
        <fgColor rgb="FFBFBFBF"/>
        <bgColor rgb="FFBFBFBF"/>
      </patternFill>
    </fill>
    <fill>
      <patternFill patternType="solid">
        <fgColor rgb="FF4A86E8"/>
        <bgColor rgb="FF4A86E8"/>
      </patternFill>
    </fill>
    <fill>
      <patternFill patternType="solid">
        <fgColor rgb="FF45818E"/>
        <bgColor rgb="FF45818E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1D9E75"/>
        <bgColor rgb="FF1D9E75"/>
      </patternFill>
    </fill>
    <fill>
      <patternFill patternType="solid">
        <fgColor rgb="FFB7B7B7"/>
        <bgColor rgb="FFB7B7B7"/>
      </patternFill>
    </fill>
    <fill>
      <patternFill patternType="solid">
        <fgColor rgb="FFE69138"/>
        <bgColor rgb="FFE69138"/>
      </patternFill>
    </fill>
    <fill>
      <patternFill patternType="solid">
        <fgColor rgb="FFE05D43"/>
        <bgColor rgb="FFE05D43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right style="thin">
        <color rgb="FFFFFFFF"/>
      </right>
      <top style="thin">
        <color rgb="FF000000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shrinkToFit="0" vertical="top" wrapText="1"/>
    </xf>
    <xf borderId="2" fillId="3" fontId="3" numFmtId="0" xfId="0" applyAlignment="1" applyBorder="1" applyFill="1" applyFont="1">
      <alignment horizontal="center" vertical="bottom"/>
    </xf>
    <xf borderId="1" fillId="0" fontId="4" numFmtId="0" xfId="0" applyAlignment="1" applyBorder="1" applyFont="1">
      <alignment readingOrder="0" shrinkToFit="0" vertical="top" wrapText="1"/>
    </xf>
    <xf borderId="3" fillId="0" fontId="5" numFmtId="0" xfId="0" applyBorder="1" applyFont="1"/>
    <xf borderId="1" fillId="0" fontId="4" numFmtId="0" xfId="0" applyAlignment="1" applyBorder="1" applyFont="1">
      <alignment shrinkToFit="0" vertical="top" wrapText="1"/>
    </xf>
    <xf borderId="4" fillId="0" fontId="5" numFmtId="0" xfId="0" applyBorder="1" applyFont="1"/>
    <xf borderId="0" fillId="0" fontId="6" numFmtId="0" xfId="0" applyAlignment="1" applyFont="1">
      <alignment shrinkToFit="0" wrapText="1"/>
    </xf>
    <xf borderId="1" fillId="4" fontId="7" numFmtId="0" xfId="0" applyAlignment="1" applyBorder="1" applyFill="1" applyFont="1">
      <alignment horizontal="center" vertical="bottom"/>
    </xf>
    <xf borderId="5" fillId="4" fontId="7" numFmtId="0" xfId="0" applyAlignment="1" applyBorder="1" applyFill="1" applyFont="1">
      <alignment horizontal="center" vertical="bottom"/>
    </xf>
    <xf borderId="1" fillId="0" fontId="4" numFmtId="164" xfId="0" applyAlignment="1" applyBorder="1" applyFont="1" applyNumberFormat="1">
      <alignment readingOrder="0" shrinkToFit="0" vertical="top" wrapText="1"/>
    </xf>
    <xf borderId="6" fillId="0" fontId="6" numFmtId="0" xfId="0" applyBorder="1" applyFont="1"/>
    <xf borderId="7" fillId="0" fontId="5" numFmtId="0" xfId="0" applyBorder="1" applyFont="1"/>
    <xf borderId="8" fillId="0" fontId="5" numFmtId="0" xfId="0" applyBorder="1" applyFont="1"/>
    <xf borderId="5" fillId="0" fontId="1" numFmtId="0" xfId="0" applyAlignment="1" applyBorder="1" applyFont="1">
      <alignment horizontal="center" vertical="bottom"/>
    </xf>
    <xf borderId="1" fillId="5" fontId="7" numFmtId="0" xfId="0" applyAlignment="1" applyBorder="1" applyFill="1" applyFont="1">
      <alignment horizontal="center" readingOrder="0" vertical="bottom"/>
    </xf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1" fillId="5" fontId="7" numFmtId="0" xfId="0" applyAlignment="1" applyBorder="1" applyFill="1" applyFont="1">
      <alignment horizontal="center" vertical="bottom"/>
    </xf>
    <xf borderId="0" fillId="0" fontId="1" numFmtId="9" xfId="0" applyAlignment="1" applyFont="1" applyNumberFormat="1">
      <alignment vertical="bottom"/>
    </xf>
    <xf borderId="1" fillId="6" fontId="1" numFmtId="0" xfId="0" applyAlignment="1" applyBorder="1" applyFill="1" applyFont="1">
      <alignment horizontal="center" vertical="bottom"/>
    </xf>
    <xf borderId="1" fillId="0" fontId="8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1" numFmtId="165" xfId="0" applyAlignment="1" applyBorder="1" applyFont="1" applyNumberFormat="1">
      <alignment horizontal="right" readingOrder="0" vertical="bottom"/>
    </xf>
    <xf borderId="1" fillId="0" fontId="1" numFmtId="0" xfId="0" applyAlignment="1" applyBorder="1" applyFont="1">
      <alignment horizontal="center" vertical="bottom"/>
    </xf>
    <xf borderId="0" fillId="0" fontId="1" numFmtId="166" xfId="0" applyAlignment="1" applyFont="1" applyNumberFormat="1">
      <alignment horizontal="right" vertical="bottom"/>
    </xf>
    <xf borderId="17" fillId="6" fontId="1" numFmtId="0" xfId="0" applyAlignment="1" applyBorder="1" applyFill="1" applyFont="1">
      <alignment horizontal="center" vertical="bottom"/>
    </xf>
    <xf borderId="18" fillId="0" fontId="5" numFmtId="0" xfId="0" applyBorder="1" applyFont="1"/>
    <xf borderId="1" fillId="7" fontId="7" numFmtId="0" xfId="0" applyAlignment="1" applyBorder="1" applyFill="1" applyFont="1">
      <alignment horizontal="center" readingOrder="0" vertical="bottom"/>
    </xf>
    <xf borderId="1" fillId="7" fontId="7" numFmtId="0" xfId="0" applyAlignment="1" applyBorder="1" applyFill="1" applyFont="1">
      <alignment horizontal="center" vertical="bottom"/>
    </xf>
    <xf borderId="1" fillId="0" fontId="1" numFmtId="165" xfId="0" applyAlignment="1" applyBorder="1" applyFont="1" applyNumberFormat="1">
      <alignment horizontal="right" vertical="bottom"/>
    </xf>
    <xf borderId="1" fillId="8" fontId="7" numFmtId="0" xfId="0" applyAlignment="1" applyBorder="1" applyFill="1" applyFont="1">
      <alignment horizontal="center" readingOrder="0" vertical="bottom"/>
    </xf>
    <xf borderId="1" fillId="8" fontId="7" numFmtId="0" xfId="0" applyAlignment="1" applyBorder="1" applyFill="1" applyFont="1">
      <alignment horizontal="center" vertical="bottom"/>
    </xf>
    <xf borderId="1" fillId="9" fontId="9" numFmtId="0" xfId="0" applyAlignment="1" applyBorder="1" applyFill="1" applyFont="1">
      <alignment vertical="bottom"/>
    </xf>
    <xf borderId="1" fillId="10" fontId="10" numFmtId="165" xfId="0" applyAlignment="1" applyBorder="1" applyFill="1" applyFont="1" applyNumberFormat="1">
      <alignment horizontal="right" vertical="bottom"/>
    </xf>
    <xf borderId="5" fillId="0" fontId="1" numFmtId="165" xfId="0" applyAlignment="1" applyBorder="1" applyFont="1" applyNumberFormat="1">
      <alignment horizontal="right" vertical="bottom"/>
    </xf>
    <xf borderId="19" fillId="0" fontId="1" numFmtId="0" xfId="0" applyAlignment="1" applyBorder="1" applyFont="1">
      <alignment vertical="bottom"/>
    </xf>
    <xf borderId="0" fillId="11" fontId="1" numFmtId="0" xfId="0" applyAlignment="1" applyFill="1" applyFont="1">
      <alignment vertical="bottom"/>
    </xf>
    <xf borderId="1" fillId="12" fontId="7" numFmtId="0" xfId="0" applyAlignment="1" applyBorder="1" applyFill="1" applyFont="1">
      <alignment horizontal="center" readingOrder="0" vertical="bottom"/>
    </xf>
    <xf borderId="1" fillId="12" fontId="7" numFmtId="0" xfId="0" applyAlignment="1" applyBorder="1" applyFill="1" applyFont="1">
      <alignment horizontal="center" vertical="bottom"/>
    </xf>
    <xf borderId="5" fillId="0" fontId="1" numFmtId="165" xfId="0" applyAlignment="1" applyBorder="1" applyFont="1" applyNumberFormat="1">
      <alignment horizontal="right" vertical="bottom"/>
    </xf>
    <xf borderId="19" fillId="0" fontId="1" numFmtId="165" xfId="0" applyAlignment="1" applyBorder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1" fillId="0" fontId="8" numFmtId="0" xfId="0" applyAlignment="1" applyBorder="1" applyFont="1">
      <alignment horizontal="center" readingOrder="0" shrinkToFit="0" wrapText="1"/>
    </xf>
    <xf borderId="5" fillId="0" fontId="1" numFmtId="165" xfId="0" applyAlignment="1" applyBorder="1" applyFont="1" applyNumberFormat="1">
      <alignment horizontal="right" readingOrder="0" vertical="bottom"/>
    </xf>
    <xf borderId="1" fillId="13" fontId="1" numFmtId="0" xfId="0" applyAlignment="1" applyBorder="1" applyFill="1" applyFont="1">
      <alignment vertical="bottom"/>
    </xf>
    <xf borderId="1" fillId="13" fontId="1" numFmtId="0" xfId="0" applyAlignment="1" applyBorder="1" applyFill="1" applyFont="1">
      <alignment readingOrder="0" vertical="bottom"/>
    </xf>
    <xf borderId="1" fillId="0" fontId="1" numFmtId="165" xfId="0" applyAlignment="1" applyBorder="1" applyFont="1" applyNumberFormat="1">
      <alignment horizontal="right" vertical="bottom"/>
    </xf>
    <xf borderId="20" fillId="0" fontId="1" numFmtId="0" xfId="0" applyAlignment="1" applyBorder="1" applyFont="1">
      <alignment readingOrder="0" vertical="bottom"/>
    </xf>
    <xf borderId="20" fillId="0" fontId="1" numFmtId="165" xfId="0" applyAlignment="1" applyBorder="1" applyFont="1" applyNumberFormat="1">
      <alignment horizontal="right" vertical="bottom"/>
    </xf>
    <xf borderId="1" fillId="14" fontId="7" numFmtId="0" xfId="0" applyAlignment="1" applyBorder="1" applyFill="1" applyFont="1">
      <alignment horizontal="center" readingOrder="0" vertical="bottom"/>
    </xf>
    <xf borderId="1" fillId="14" fontId="7" numFmtId="0" xfId="0" applyAlignment="1" applyBorder="1" applyFill="1" applyFont="1">
      <alignment horizontal="center" vertical="bottom"/>
    </xf>
    <xf borderId="1" fillId="9" fontId="9" numFmtId="0" xfId="0" applyAlignment="1" applyBorder="1" applyFill="1" applyFont="1">
      <alignment readingOrder="0" vertical="bottom"/>
    </xf>
    <xf borderId="1" fillId="15" fontId="7" numFmtId="0" xfId="0" applyAlignment="1" applyBorder="1" applyFill="1" applyFont="1">
      <alignment horizontal="center" readingOrder="0" vertical="bottom"/>
    </xf>
    <xf borderId="1" fillId="15" fontId="7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5</xdr:row>
      <xdr:rowOff>152400</xdr:rowOff>
    </xdr:from>
    <xdr:ext cx="3971925" cy="1571625"/>
    <xdr:grpSp>
      <xdr:nvGrpSpPr>
        <xdr:cNvPr id="2" name="Shape 2" title="Dibujo"/>
        <xdr:cNvGrpSpPr/>
      </xdr:nvGrpSpPr>
      <xdr:grpSpPr>
        <a:xfrm>
          <a:off x="1525675" y="390625"/>
          <a:ext cx="3957300" cy="1554300"/>
          <a:chOff x="1525675" y="390625"/>
          <a:chExt cx="3957300" cy="1554300"/>
        </a:xfrm>
      </xdr:grpSpPr>
      <xdr:sp>
        <xdr:nvSpPr>
          <xdr:cNvPr id="3" name="Shape 3"/>
          <xdr:cNvSpPr/>
        </xdr:nvSpPr>
        <xdr:spPr>
          <a:xfrm>
            <a:off x="1525675" y="390625"/>
            <a:ext cx="3957300" cy="961200"/>
          </a:xfrm>
          <a:prstGeom prst="rect">
            <a:avLst/>
          </a:prstGeom>
          <a:solidFill>
            <a:srgbClr val="351C75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>
                <a:solidFill>
                  <a:srgbClr val="FFFFFF"/>
                </a:solidFill>
              </a:rPr>
              <a:t>Siempre Cerca</a:t>
            </a:r>
            <a:endParaRPr b="1" sz="1400">
              <a:solidFill>
                <a:srgbClr val="FFFFFF"/>
              </a:solidFill>
            </a:endParaRPr>
          </a:p>
        </xdr:txBody>
      </xdr:sp>
      <xdr:cxnSp>
        <xdr:nvCxnSpPr>
          <xdr:cNvPr id="4" name="Shape 4"/>
          <xdr:cNvCxnSpPr>
            <a:stCxn id="3" idx="2"/>
          </xdr:cNvCxnSpPr>
        </xdr:nvCxnSpPr>
        <xdr:spPr>
          <a:xfrm>
            <a:off x="3504325" y="1351825"/>
            <a:ext cx="15300" cy="5931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952500</xdr:colOff>
      <xdr:row>14</xdr:row>
      <xdr:rowOff>190500</xdr:rowOff>
    </xdr:from>
    <xdr:ext cx="2524125" cy="4581525"/>
    <xdr:grpSp>
      <xdr:nvGrpSpPr>
        <xdr:cNvPr id="2" name="Shape 2" title="Dibujo"/>
        <xdr:cNvGrpSpPr/>
      </xdr:nvGrpSpPr>
      <xdr:grpSpPr>
        <a:xfrm>
          <a:off x="-222475" y="72933"/>
          <a:ext cx="3658800" cy="4565667"/>
          <a:chOff x="-222475" y="72933"/>
          <a:chExt cx="3658800" cy="4565667"/>
        </a:xfrm>
      </xdr:grpSpPr>
      <xdr:sp>
        <xdr:nvSpPr>
          <xdr:cNvPr id="5" name="Shape 5"/>
          <xdr:cNvSpPr/>
        </xdr:nvSpPr>
        <xdr:spPr>
          <a:xfrm>
            <a:off x="738275" y="72933"/>
            <a:ext cx="1539300" cy="604500"/>
          </a:xfrm>
          <a:prstGeom prst="rect">
            <a:avLst/>
          </a:prstGeom>
          <a:solidFill>
            <a:srgbClr val="8E7CC3"/>
          </a:solidFill>
          <a:ln cap="flat" cmpd="sng" w="59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56875" lIns="56875" spcFirstLastPara="1" rIns="56875" wrap="square" tIns="568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000">
                <a:solidFill>
                  <a:srgbClr val="FFFFFF"/>
                </a:solidFill>
              </a:rPr>
              <a:t>1</a:t>
            </a:r>
            <a:endParaRPr b="1" sz="1000">
              <a:solidFill>
                <a:srgbClr val="FFFFFF"/>
              </a:solidFill>
            </a:endParaRPr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000">
                <a:solidFill>
                  <a:srgbClr val="FFFFFF"/>
                </a:solidFill>
              </a:rPr>
              <a:t>Análisis</a:t>
            </a:r>
            <a:r>
              <a:rPr b="1" lang="en-US" sz="1000">
                <a:solidFill>
                  <a:srgbClr val="FFFFFF"/>
                </a:solidFill>
              </a:rPr>
              <a:t> del Proyecto</a:t>
            </a:r>
            <a:endParaRPr b="1" sz="1000">
              <a:solidFill>
                <a:srgbClr val="FFFFFF"/>
              </a:solidFill>
            </a:endParaRPr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000">
                <a:solidFill>
                  <a:srgbClr val="FFFFFF"/>
                </a:solidFill>
              </a:rPr>
              <a:t>(13%)</a:t>
            </a:r>
            <a:endParaRPr b="1" sz="1000">
              <a:solidFill>
                <a:srgbClr val="FFFFFF"/>
              </a:solidFill>
            </a:endParaRPr>
          </a:p>
        </xdr:txBody>
      </xdr:sp>
      <xdr:cxnSp>
        <xdr:nvCxnSpPr>
          <xdr:cNvPr id="6" name="Shape 6"/>
          <xdr:cNvCxnSpPr>
            <a:stCxn id="5" idx="2"/>
            <a:endCxn id="7" idx="1"/>
          </xdr:cNvCxnSpPr>
        </xdr:nvCxnSpPr>
        <xdr:spPr>
          <a:xfrm flipH="1" rot="-5400000">
            <a:off x="1396475" y="788883"/>
            <a:ext cx="420900" cy="198000"/>
          </a:xfrm>
          <a:prstGeom prst="bentConnector2">
            <a:avLst/>
          </a:prstGeom>
          <a:noFill/>
          <a:ln cap="flat" cmpd="sng" w="59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7" name="Shape 7"/>
          <xdr:cNvSpPr/>
        </xdr:nvSpPr>
        <xdr:spPr>
          <a:xfrm>
            <a:off x="1705918" y="796215"/>
            <a:ext cx="1539300" cy="604500"/>
          </a:xfrm>
          <a:prstGeom prst="rect">
            <a:avLst/>
          </a:prstGeom>
          <a:solidFill>
            <a:srgbClr val="D9D2E9"/>
          </a:solidFill>
          <a:ln cap="flat" cmpd="sng" w="59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56875" lIns="56875" spcFirstLastPara="1" rIns="56875" wrap="square" tIns="568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1.1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Análisis</a:t>
            </a:r>
            <a:r>
              <a:rPr lang="en-US" sz="1000"/>
              <a:t> de la problemática y solución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(29%)</a:t>
            </a:r>
            <a:endParaRPr sz="1000"/>
          </a:p>
        </xdr:txBody>
      </xdr:sp>
      <xdr:cxnSp>
        <xdr:nvCxnSpPr>
          <xdr:cNvPr id="8" name="Shape 8"/>
          <xdr:cNvCxnSpPr>
            <a:stCxn id="5" idx="2"/>
            <a:endCxn id="9" idx="1"/>
          </xdr:cNvCxnSpPr>
        </xdr:nvCxnSpPr>
        <xdr:spPr>
          <a:xfrm flipH="1" rot="-5400000">
            <a:off x="1072625" y="1112733"/>
            <a:ext cx="1068600" cy="198000"/>
          </a:xfrm>
          <a:prstGeom prst="bentConnector2">
            <a:avLst/>
          </a:prstGeom>
          <a:noFill/>
          <a:ln cap="flat" cmpd="sng" w="59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9" name="Shape 9"/>
          <xdr:cNvSpPr/>
        </xdr:nvSpPr>
        <xdr:spPr>
          <a:xfrm>
            <a:off x="1705918" y="1443808"/>
            <a:ext cx="1539300" cy="604500"/>
          </a:xfrm>
          <a:prstGeom prst="rect">
            <a:avLst/>
          </a:prstGeom>
          <a:solidFill>
            <a:srgbClr val="D9D2E9"/>
          </a:solidFill>
          <a:ln cap="flat" cmpd="sng" w="59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56875" lIns="56875" spcFirstLastPara="1" rIns="56875" wrap="square" tIns="568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1.2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Evaluación del proyecto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(12%)</a:t>
            </a:r>
            <a:endParaRPr sz="1000"/>
          </a:p>
        </xdr:txBody>
      </xdr:sp>
      <xdr:cxnSp>
        <xdr:nvCxnSpPr>
          <xdr:cNvPr id="10" name="Shape 10"/>
          <xdr:cNvCxnSpPr>
            <a:stCxn id="5" idx="2"/>
            <a:endCxn id="11" idx="1"/>
          </xdr:cNvCxnSpPr>
        </xdr:nvCxnSpPr>
        <xdr:spPr>
          <a:xfrm flipH="1" rot="-5400000">
            <a:off x="748775" y="1436583"/>
            <a:ext cx="1716300" cy="198000"/>
          </a:xfrm>
          <a:prstGeom prst="bentConnector2">
            <a:avLst/>
          </a:prstGeom>
          <a:noFill/>
          <a:ln cap="flat" cmpd="sng" w="7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11" name="Shape 11"/>
          <xdr:cNvSpPr/>
        </xdr:nvSpPr>
        <xdr:spPr>
          <a:xfrm>
            <a:off x="1705917" y="2091378"/>
            <a:ext cx="1539300" cy="604500"/>
          </a:xfrm>
          <a:prstGeom prst="rect">
            <a:avLst/>
          </a:prstGeom>
          <a:solidFill>
            <a:srgbClr val="D9D2E9"/>
          </a:solidFill>
          <a:ln cap="flat" cmpd="sng" w="70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7600" lIns="67600" spcFirstLastPara="1" rIns="67600" wrap="square" tIns="676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1.3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Acta de constitución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(29%)</a:t>
            </a:r>
            <a:endParaRPr sz="1000"/>
          </a:p>
        </xdr:txBody>
      </xdr:sp>
      <xdr:sp>
        <xdr:nvSpPr>
          <xdr:cNvPr id="12" name="Shape 12"/>
          <xdr:cNvSpPr/>
        </xdr:nvSpPr>
        <xdr:spPr>
          <a:xfrm>
            <a:off x="1705920" y="2738950"/>
            <a:ext cx="1539300" cy="604500"/>
          </a:xfrm>
          <a:prstGeom prst="rect">
            <a:avLst/>
          </a:prstGeom>
          <a:solidFill>
            <a:srgbClr val="D9D2E9"/>
          </a:solidFill>
          <a:ln cap="flat" cmpd="sng" w="70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7600" lIns="67600" spcFirstLastPara="1" rIns="67600" wrap="square" tIns="676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1.4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Acta de constitución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(14%)</a:t>
            </a:r>
            <a:endParaRPr sz="1000"/>
          </a:p>
        </xdr:txBody>
      </xdr:sp>
      <xdr:sp>
        <xdr:nvSpPr>
          <xdr:cNvPr id="13" name="Shape 13"/>
          <xdr:cNvSpPr/>
        </xdr:nvSpPr>
        <xdr:spPr>
          <a:xfrm>
            <a:off x="1705925" y="3386525"/>
            <a:ext cx="1539300" cy="604500"/>
          </a:xfrm>
          <a:prstGeom prst="rect">
            <a:avLst/>
          </a:prstGeom>
          <a:solidFill>
            <a:srgbClr val="D9D2E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1.5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Descubrimiento</a:t>
            </a:r>
            <a:r>
              <a:rPr lang="en-US" sz="1000"/>
              <a:t> y visión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(12%)</a:t>
            </a:r>
            <a:endParaRPr sz="1000"/>
          </a:p>
        </xdr:txBody>
      </xdr:sp>
      <xdr:sp>
        <xdr:nvSpPr>
          <xdr:cNvPr id="14" name="Shape 14"/>
          <xdr:cNvSpPr/>
        </xdr:nvSpPr>
        <xdr:spPr>
          <a:xfrm>
            <a:off x="1705925" y="4034100"/>
            <a:ext cx="1539300" cy="604500"/>
          </a:xfrm>
          <a:prstGeom prst="rect">
            <a:avLst/>
          </a:prstGeom>
          <a:solidFill>
            <a:srgbClr val="D9D2E9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1.6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Definición del producto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(11%)</a:t>
            </a:r>
            <a:endParaRPr sz="1000"/>
          </a:p>
        </xdr:txBody>
      </xdr:sp>
      <xdr:cxnSp>
        <xdr:nvCxnSpPr>
          <xdr:cNvPr id="15" name="Shape 15"/>
          <xdr:cNvCxnSpPr>
            <a:stCxn id="5" idx="2"/>
            <a:endCxn id="12" idx="1"/>
          </xdr:cNvCxnSpPr>
        </xdr:nvCxnSpPr>
        <xdr:spPr>
          <a:xfrm flipH="1" rot="-5400000">
            <a:off x="425075" y="1760283"/>
            <a:ext cx="2363700" cy="198000"/>
          </a:xfrm>
          <a:prstGeom prst="bentConnector2">
            <a:avLst/>
          </a:prstGeom>
          <a:noFill/>
          <a:ln cap="flat" cmpd="sng" w="7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16" name="Shape 16"/>
          <xdr:cNvCxnSpPr>
            <a:stCxn id="5" idx="2"/>
            <a:endCxn id="13" idx="1"/>
          </xdr:cNvCxnSpPr>
        </xdr:nvCxnSpPr>
        <xdr:spPr>
          <a:xfrm flipH="1" rot="-5400000">
            <a:off x="101225" y="2084133"/>
            <a:ext cx="3011400" cy="198000"/>
          </a:xfrm>
          <a:prstGeom prst="bentConnector2">
            <a:avLst/>
          </a:prstGeom>
          <a:noFill/>
          <a:ln cap="flat" cmpd="sng" w="7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17" name="Shape 17"/>
          <xdr:cNvCxnSpPr>
            <a:stCxn id="5" idx="2"/>
            <a:endCxn id="14" idx="1"/>
          </xdr:cNvCxnSpPr>
        </xdr:nvCxnSpPr>
        <xdr:spPr>
          <a:xfrm flipH="1" rot="-5400000">
            <a:off x="-222475" y="2407833"/>
            <a:ext cx="3658800" cy="198000"/>
          </a:xfrm>
          <a:prstGeom prst="bentConnector2">
            <a:avLst/>
          </a:prstGeom>
          <a:noFill/>
          <a:ln cap="flat" cmpd="sng" w="7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952500</xdr:colOff>
      <xdr:row>14</xdr:row>
      <xdr:rowOff>190500</xdr:rowOff>
    </xdr:from>
    <xdr:ext cx="2524125" cy="3295650"/>
    <xdr:grpSp>
      <xdr:nvGrpSpPr>
        <xdr:cNvPr id="2" name="Shape 2" title="Dibujo"/>
        <xdr:cNvGrpSpPr/>
      </xdr:nvGrpSpPr>
      <xdr:grpSpPr>
        <a:xfrm>
          <a:off x="425075" y="72933"/>
          <a:ext cx="2820145" cy="3270517"/>
          <a:chOff x="425075" y="72933"/>
          <a:chExt cx="2820145" cy="3270517"/>
        </a:xfrm>
      </xdr:grpSpPr>
      <xdr:sp>
        <xdr:nvSpPr>
          <xdr:cNvPr id="18" name="Shape 18"/>
          <xdr:cNvSpPr/>
        </xdr:nvSpPr>
        <xdr:spPr>
          <a:xfrm>
            <a:off x="738275" y="72933"/>
            <a:ext cx="1539300" cy="604500"/>
          </a:xfrm>
          <a:prstGeom prst="rect">
            <a:avLst/>
          </a:prstGeom>
          <a:solidFill>
            <a:srgbClr val="3C78D8"/>
          </a:solidFill>
          <a:ln cap="flat" cmpd="sng" w="59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56875" lIns="56875" spcFirstLastPara="1" rIns="56875" wrap="square" tIns="568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000">
                <a:solidFill>
                  <a:srgbClr val="FFFFFF"/>
                </a:solidFill>
              </a:rPr>
              <a:t>2</a:t>
            </a:r>
            <a:endParaRPr b="1" sz="1000">
              <a:solidFill>
                <a:srgbClr val="FFFFFF"/>
              </a:solidFill>
            </a:endParaRPr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000">
                <a:solidFill>
                  <a:srgbClr val="FFFFFF"/>
                </a:solidFill>
              </a:rPr>
              <a:t>Especificación de requisitos</a:t>
            </a:r>
            <a:endParaRPr b="1" sz="1000">
              <a:solidFill>
                <a:srgbClr val="FFFFFF"/>
              </a:solidFill>
            </a:endParaRPr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000">
                <a:solidFill>
                  <a:srgbClr val="FFFFFF"/>
                </a:solidFill>
              </a:rPr>
              <a:t>(6%)</a:t>
            </a:r>
            <a:endParaRPr b="1" sz="1000">
              <a:solidFill>
                <a:srgbClr val="FFFFFF"/>
              </a:solidFill>
            </a:endParaRPr>
          </a:p>
        </xdr:txBody>
      </xdr:sp>
      <xdr:cxnSp>
        <xdr:nvCxnSpPr>
          <xdr:cNvPr id="19" name="Shape 19"/>
          <xdr:cNvCxnSpPr>
            <a:stCxn id="18" idx="2"/>
            <a:endCxn id="20" idx="1"/>
          </xdr:cNvCxnSpPr>
        </xdr:nvCxnSpPr>
        <xdr:spPr>
          <a:xfrm flipH="1" rot="-5400000">
            <a:off x="1396475" y="788883"/>
            <a:ext cx="420900" cy="198000"/>
          </a:xfrm>
          <a:prstGeom prst="bentConnector2">
            <a:avLst/>
          </a:prstGeom>
          <a:noFill/>
          <a:ln cap="flat" cmpd="sng" w="59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20" name="Shape 20"/>
          <xdr:cNvSpPr/>
        </xdr:nvSpPr>
        <xdr:spPr>
          <a:xfrm>
            <a:off x="1705918" y="796215"/>
            <a:ext cx="1539300" cy="604500"/>
          </a:xfrm>
          <a:prstGeom prst="rect">
            <a:avLst/>
          </a:prstGeom>
          <a:solidFill>
            <a:srgbClr val="C9DAF8"/>
          </a:solidFill>
          <a:ln cap="flat" cmpd="sng" w="59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56875" lIns="56875" spcFirstLastPara="1" rIns="56875" wrap="square" tIns="568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2</a:t>
            </a:r>
            <a:r>
              <a:rPr lang="en-US" sz="1000"/>
              <a:t>.1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Requisitos Funcionales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(32%)</a:t>
            </a:r>
            <a:endParaRPr sz="1000"/>
          </a:p>
        </xdr:txBody>
      </xdr:sp>
      <xdr:cxnSp>
        <xdr:nvCxnSpPr>
          <xdr:cNvPr id="21" name="Shape 21"/>
          <xdr:cNvCxnSpPr>
            <a:stCxn id="18" idx="2"/>
            <a:endCxn id="22" idx="1"/>
          </xdr:cNvCxnSpPr>
        </xdr:nvCxnSpPr>
        <xdr:spPr>
          <a:xfrm flipH="1" rot="-5400000">
            <a:off x="1072625" y="1112733"/>
            <a:ext cx="1068600" cy="198000"/>
          </a:xfrm>
          <a:prstGeom prst="bentConnector2">
            <a:avLst/>
          </a:prstGeom>
          <a:noFill/>
          <a:ln cap="flat" cmpd="sng" w="59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22" name="Shape 22"/>
          <xdr:cNvSpPr/>
        </xdr:nvSpPr>
        <xdr:spPr>
          <a:xfrm>
            <a:off x="1705918" y="1443808"/>
            <a:ext cx="1539300" cy="604500"/>
          </a:xfrm>
          <a:prstGeom prst="rect">
            <a:avLst/>
          </a:prstGeom>
          <a:solidFill>
            <a:srgbClr val="C9DAF8"/>
          </a:solidFill>
          <a:ln cap="flat" cmpd="sng" w="59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56875" lIns="56875" spcFirstLastPara="1" rIns="56875" wrap="square" tIns="568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2</a:t>
            </a:r>
            <a:r>
              <a:rPr lang="en-US" sz="1000"/>
              <a:t>.2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Requisitos No Funcionales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(16%)</a:t>
            </a:r>
            <a:endParaRPr sz="1000"/>
          </a:p>
        </xdr:txBody>
      </xdr:sp>
      <xdr:cxnSp>
        <xdr:nvCxnSpPr>
          <xdr:cNvPr id="23" name="Shape 23"/>
          <xdr:cNvCxnSpPr>
            <a:stCxn id="18" idx="2"/>
            <a:endCxn id="24" idx="1"/>
          </xdr:cNvCxnSpPr>
        </xdr:nvCxnSpPr>
        <xdr:spPr>
          <a:xfrm flipH="1" rot="-5400000">
            <a:off x="748775" y="1436583"/>
            <a:ext cx="1716300" cy="198000"/>
          </a:xfrm>
          <a:prstGeom prst="bentConnector2">
            <a:avLst/>
          </a:prstGeom>
          <a:noFill/>
          <a:ln cap="flat" cmpd="sng" w="7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24" name="Shape 24"/>
          <xdr:cNvSpPr/>
        </xdr:nvSpPr>
        <xdr:spPr>
          <a:xfrm>
            <a:off x="1705917" y="2091378"/>
            <a:ext cx="1539300" cy="604500"/>
          </a:xfrm>
          <a:prstGeom prst="rect">
            <a:avLst/>
          </a:prstGeom>
          <a:solidFill>
            <a:srgbClr val="C9DAF8"/>
          </a:solidFill>
          <a:ln cap="flat" cmpd="sng" w="70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7600" lIns="67600" spcFirstLastPara="1" rIns="67600" wrap="square" tIns="676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2</a:t>
            </a:r>
            <a:r>
              <a:rPr lang="en-US" sz="1000"/>
              <a:t>.3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Creación de historias de usuarios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(44%)</a:t>
            </a:r>
            <a:endParaRPr sz="1000"/>
          </a:p>
        </xdr:txBody>
      </xdr:sp>
      <xdr:sp>
        <xdr:nvSpPr>
          <xdr:cNvPr id="25" name="Shape 25"/>
          <xdr:cNvSpPr/>
        </xdr:nvSpPr>
        <xdr:spPr>
          <a:xfrm>
            <a:off x="1705920" y="2738950"/>
            <a:ext cx="1539300" cy="604500"/>
          </a:xfrm>
          <a:prstGeom prst="rect">
            <a:avLst/>
          </a:prstGeom>
          <a:solidFill>
            <a:srgbClr val="C9DAF8"/>
          </a:solidFill>
          <a:ln cap="flat" cmpd="sng" w="70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7600" lIns="67600" spcFirstLastPara="1" rIns="67600" wrap="square" tIns="676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2</a:t>
            </a:r>
            <a:r>
              <a:rPr lang="en-US" sz="1000"/>
              <a:t>.4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Especificación de reglas de negocio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(8%)</a:t>
            </a:r>
            <a:endParaRPr sz="1000"/>
          </a:p>
        </xdr:txBody>
      </xdr:sp>
      <xdr:cxnSp>
        <xdr:nvCxnSpPr>
          <xdr:cNvPr id="26" name="Shape 26"/>
          <xdr:cNvCxnSpPr>
            <a:stCxn id="18" idx="2"/>
            <a:endCxn id="25" idx="1"/>
          </xdr:cNvCxnSpPr>
        </xdr:nvCxnSpPr>
        <xdr:spPr>
          <a:xfrm flipH="1" rot="-5400000">
            <a:off x="425075" y="1760283"/>
            <a:ext cx="2363700" cy="198000"/>
          </a:xfrm>
          <a:prstGeom prst="bentConnector2">
            <a:avLst/>
          </a:prstGeom>
          <a:noFill/>
          <a:ln cap="flat" cmpd="sng" w="7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952500</xdr:colOff>
      <xdr:row>14</xdr:row>
      <xdr:rowOff>200025</xdr:rowOff>
    </xdr:from>
    <xdr:ext cx="2524125" cy="3933825"/>
    <xdr:grpSp>
      <xdr:nvGrpSpPr>
        <xdr:cNvPr id="2" name="Shape 2" title="Dibujo"/>
        <xdr:cNvGrpSpPr/>
      </xdr:nvGrpSpPr>
      <xdr:grpSpPr>
        <a:xfrm>
          <a:off x="101225" y="72933"/>
          <a:ext cx="3144000" cy="3918092"/>
          <a:chOff x="101225" y="72933"/>
          <a:chExt cx="3144000" cy="3918092"/>
        </a:xfrm>
      </xdr:grpSpPr>
      <xdr:sp>
        <xdr:nvSpPr>
          <xdr:cNvPr id="27" name="Shape 27"/>
          <xdr:cNvSpPr/>
        </xdr:nvSpPr>
        <xdr:spPr>
          <a:xfrm>
            <a:off x="738275" y="72933"/>
            <a:ext cx="1539300" cy="604500"/>
          </a:xfrm>
          <a:prstGeom prst="rect">
            <a:avLst/>
          </a:prstGeom>
          <a:solidFill>
            <a:srgbClr val="45818E"/>
          </a:solidFill>
          <a:ln cap="flat" cmpd="sng" w="59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56875" lIns="56875" spcFirstLastPara="1" rIns="56875" wrap="square" tIns="568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000">
                <a:solidFill>
                  <a:srgbClr val="FFFFFF"/>
                </a:solidFill>
              </a:rPr>
              <a:t>3</a:t>
            </a:r>
            <a:endParaRPr b="1" sz="1000">
              <a:solidFill>
                <a:srgbClr val="FFFFFF"/>
              </a:solidFill>
            </a:endParaRPr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000">
                <a:solidFill>
                  <a:srgbClr val="FFFFFF"/>
                </a:solidFill>
              </a:rPr>
              <a:t>Diseño del proyecto</a:t>
            </a:r>
            <a:endParaRPr b="1" sz="1000">
              <a:solidFill>
                <a:srgbClr val="FFFFFF"/>
              </a:solidFill>
            </a:endParaRPr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000">
                <a:solidFill>
                  <a:srgbClr val="FFFFFF"/>
                </a:solidFill>
              </a:rPr>
              <a:t>(8%)</a:t>
            </a:r>
            <a:endParaRPr b="1" sz="1000">
              <a:solidFill>
                <a:srgbClr val="FFFFFF"/>
              </a:solidFill>
            </a:endParaRPr>
          </a:p>
        </xdr:txBody>
      </xdr:sp>
      <xdr:cxnSp>
        <xdr:nvCxnSpPr>
          <xdr:cNvPr id="28" name="Shape 28"/>
          <xdr:cNvCxnSpPr>
            <a:stCxn id="27" idx="2"/>
            <a:endCxn id="29" idx="1"/>
          </xdr:cNvCxnSpPr>
        </xdr:nvCxnSpPr>
        <xdr:spPr>
          <a:xfrm flipH="1" rot="-5400000">
            <a:off x="1396475" y="788883"/>
            <a:ext cx="420900" cy="198000"/>
          </a:xfrm>
          <a:prstGeom prst="bentConnector2">
            <a:avLst/>
          </a:prstGeom>
          <a:noFill/>
          <a:ln cap="flat" cmpd="sng" w="59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29" name="Shape 29"/>
          <xdr:cNvSpPr/>
        </xdr:nvSpPr>
        <xdr:spPr>
          <a:xfrm>
            <a:off x="1705918" y="796215"/>
            <a:ext cx="1539300" cy="604500"/>
          </a:xfrm>
          <a:prstGeom prst="rect">
            <a:avLst/>
          </a:prstGeom>
          <a:solidFill>
            <a:srgbClr val="D0E0E3"/>
          </a:solidFill>
          <a:ln cap="flat" cmpd="sng" w="59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56875" lIns="56875" spcFirstLastPara="1" rIns="56875" wrap="square" tIns="568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3</a:t>
            </a:r>
            <a:r>
              <a:rPr lang="en-US" sz="1000"/>
              <a:t>.1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Diseño de la arquitectura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(24%)</a:t>
            </a:r>
            <a:endParaRPr sz="1000"/>
          </a:p>
        </xdr:txBody>
      </xdr:sp>
      <xdr:cxnSp>
        <xdr:nvCxnSpPr>
          <xdr:cNvPr id="30" name="Shape 30"/>
          <xdr:cNvCxnSpPr>
            <a:stCxn id="27" idx="2"/>
            <a:endCxn id="31" idx="1"/>
          </xdr:cNvCxnSpPr>
        </xdr:nvCxnSpPr>
        <xdr:spPr>
          <a:xfrm flipH="1" rot="-5400000">
            <a:off x="1072625" y="1112733"/>
            <a:ext cx="1068600" cy="198000"/>
          </a:xfrm>
          <a:prstGeom prst="bentConnector2">
            <a:avLst/>
          </a:prstGeom>
          <a:noFill/>
          <a:ln cap="flat" cmpd="sng" w="59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31" name="Shape 31"/>
          <xdr:cNvSpPr/>
        </xdr:nvSpPr>
        <xdr:spPr>
          <a:xfrm>
            <a:off x="1705918" y="1443808"/>
            <a:ext cx="1539300" cy="604500"/>
          </a:xfrm>
          <a:prstGeom prst="rect">
            <a:avLst/>
          </a:prstGeom>
          <a:solidFill>
            <a:srgbClr val="D0E0E3"/>
          </a:solidFill>
          <a:ln cap="flat" cmpd="sng" w="59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56875" lIns="56875" spcFirstLastPara="1" rIns="56875" wrap="square" tIns="568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3</a:t>
            </a:r>
            <a:r>
              <a:rPr lang="en-US" sz="1000"/>
              <a:t>.2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Modelamiento de la base de datos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(12%)</a:t>
            </a:r>
            <a:endParaRPr sz="1000"/>
          </a:p>
        </xdr:txBody>
      </xdr:sp>
      <xdr:cxnSp>
        <xdr:nvCxnSpPr>
          <xdr:cNvPr id="32" name="Shape 32"/>
          <xdr:cNvCxnSpPr>
            <a:stCxn id="27" idx="2"/>
            <a:endCxn id="33" idx="1"/>
          </xdr:cNvCxnSpPr>
        </xdr:nvCxnSpPr>
        <xdr:spPr>
          <a:xfrm flipH="1" rot="-5400000">
            <a:off x="748775" y="1436583"/>
            <a:ext cx="1716300" cy="198000"/>
          </a:xfrm>
          <a:prstGeom prst="bentConnector2">
            <a:avLst/>
          </a:prstGeom>
          <a:noFill/>
          <a:ln cap="flat" cmpd="sng" w="7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33" name="Shape 33"/>
          <xdr:cNvSpPr/>
        </xdr:nvSpPr>
        <xdr:spPr>
          <a:xfrm>
            <a:off x="1705917" y="2091378"/>
            <a:ext cx="1539300" cy="604500"/>
          </a:xfrm>
          <a:prstGeom prst="rect">
            <a:avLst/>
          </a:prstGeom>
          <a:solidFill>
            <a:srgbClr val="D0E0E3"/>
          </a:solidFill>
          <a:ln cap="flat" cmpd="sng" w="70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7600" lIns="67600" spcFirstLastPara="1" rIns="67600" wrap="square" tIns="676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3</a:t>
            </a:r>
            <a:r>
              <a:rPr lang="en-US" sz="1000"/>
              <a:t>.3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Diseño de la base de datos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(12%)</a:t>
            </a:r>
            <a:endParaRPr sz="1000"/>
          </a:p>
        </xdr:txBody>
      </xdr:sp>
      <xdr:sp>
        <xdr:nvSpPr>
          <xdr:cNvPr id="34" name="Shape 34"/>
          <xdr:cNvSpPr/>
        </xdr:nvSpPr>
        <xdr:spPr>
          <a:xfrm>
            <a:off x="1705920" y="2738950"/>
            <a:ext cx="1539300" cy="604500"/>
          </a:xfrm>
          <a:prstGeom prst="rect">
            <a:avLst/>
          </a:prstGeom>
          <a:solidFill>
            <a:srgbClr val="D0E0E3"/>
          </a:solidFill>
          <a:ln cap="flat" cmpd="sng" w="70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7600" lIns="67600" spcFirstLastPara="1" rIns="67600" wrap="square" tIns="676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3</a:t>
            </a:r>
            <a:r>
              <a:rPr lang="en-US" sz="1000"/>
              <a:t>.4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Creación de Mockup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(35%)</a:t>
            </a:r>
            <a:endParaRPr sz="1000"/>
          </a:p>
        </xdr:txBody>
      </xdr:sp>
      <xdr:sp>
        <xdr:nvSpPr>
          <xdr:cNvPr id="35" name="Shape 35"/>
          <xdr:cNvSpPr/>
        </xdr:nvSpPr>
        <xdr:spPr>
          <a:xfrm>
            <a:off x="1705925" y="3386525"/>
            <a:ext cx="1539300" cy="604500"/>
          </a:xfrm>
          <a:prstGeom prst="rect">
            <a:avLst/>
          </a:prstGeom>
          <a:solidFill>
            <a:srgbClr val="D0E0E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3</a:t>
            </a:r>
            <a:r>
              <a:rPr lang="en-US" sz="1000"/>
              <a:t>.5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Diseño de Seguridad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(18%)</a:t>
            </a:r>
            <a:endParaRPr sz="1000"/>
          </a:p>
        </xdr:txBody>
      </xdr:sp>
      <xdr:cxnSp>
        <xdr:nvCxnSpPr>
          <xdr:cNvPr id="36" name="Shape 36"/>
          <xdr:cNvCxnSpPr>
            <a:stCxn id="27" idx="2"/>
            <a:endCxn id="34" idx="1"/>
          </xdr:cNvCxnSpPr>
        </xdr:nvCxnSpPr>
        <xdr:spPr>
          <a:xfrm flipH="1" rot="-5400000">
            <a:off x="425075" y="1760283"/>
            <a:ext cx="2363700" cy="198000"/>
          </a:xfrm>
          <a:prstGeom prst="bentConnector2">
            <a:avLst/>
          </a:prstGeom>
          <a:noFill/>
          <a:ln cap="flat" cmpd="sng" w="7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37" name="Shape 37"/>
          <xdr:cNvCxnSpPr>
            <a:stCxn id="27" idx="2"/>
            <a:endCxn id="35" idx="1"/>
          </xdr:cNvCxnSpPr>
        </xdr:nvCxnSpPr>
        <xdr:spPr>
          <a:xfrm flipH="1" rot="-5400000">
            <a:off x="101225" y="2084133"/>
            <a:ext cx="3011400" cy="198000"/>
          </a:xfrm>
          <a:prstGeom prst="bentConnector2">
            <a:avLst/>
          </a:prstGeom>
          <a:noFill/>
          <a:ln cap="flat" cmpd="sng" w="7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962025</xdr:colOff>
      <xdr:row>15</xdr:row>
      <xdr:rowOff>9525</xdr:rowOff>
    </xdr:from>
    <xdr:ext cx="2524125" cy="4457700"/>
    <xdr:grpSp>
      <xdr:nvGrpSpPr>
        <xdr:cNvPr id="2" name="Shape 2" title="Dibujo"/>
        <xdr:cNvGrpSpPr/>
      </xdr:nvGrpSpPr>
      <xdr:grpSpPr>
        <a:xfrm>
          <a:off x="-222475" y="72933"/>
          <a:ext cx="3658800" cy="4565667"/>
          <a:chOff x="-222475" y="72933"/>
          <a:chExt cx="3658800" cy="4565667"/>
        </a:xfrm>
      </xdr:grpSpPr>
      <xdr:sp>
        <xdr:nvSpPr>
          <xdr:cNvPr id="38" name="Shape 38"/>
          <xdr:cNvSpPr/>
        </xdr:nvSpPr>
        <xdr:spPr>
          <a:xfrm>
            <a:off x="738275" y="72933"/>
            <a:ext cx="1539300" cy="604500"/>
          </a:xfrm>
          <a:prstGeom prst="rect">
            <a:avLst/>
          </a:prstGeom>
          <a:solidFill>
            <a:srgbClr val="93C47D"/>
          </a:solidFill>
          <a:ln cap="flat" cmpd="sng" w="59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56875" lIns="56875" spcFirstLastPara="1" rIns="56875" wrap="square" tIns="568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000">
                <a:solidFill>
                  <a:srgbClr val="FFFFFF"/>
                </a:solidFill>
              </a:rPr>
              <a:t>4</a:t>
            </a:r>
            <a:endParaRPr b="1" sz="1000">
              <a:solidFill>
                <a:srgbClr val="FFFFFF"/>
              </a:solidFill>
            </a:endParaRPr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000">
                <a:solidFill>
                  <a:srgbClr val="FFFFFF"/>
                </a:solidFill>
              </a:rPr>
              <a:t>Planificación Ágil y Desarrollo del proyecto</a:t>
            </a:r>
            <a:endParaRPr b="1" sz="1000">
              <a:solidFill>
                <a:srgbClr val="FFFFFF"/>
              </a:solidFill>
            </a:endParaRPr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000">
                <a:solidFill>
                  <a:srgbClr val="FFFFFF"/>
                </a:solidFill>
              </a:rPr>
              <a:t>(52%)</a:t>
            </a:r>
            <a:endParaRPr b="1" sz="1000">
              <a:solidFill>
                <a:srgbClr val="FFFFFF"/>
              </a:solidFill>
            </a:endParaRPr>
          </a:p>
        </xdr:txBody>
      </xdr:sp>
      <xdr:cxnSp>
        <xdr:nvCxnSpPr>
          <xdr:cNvPr id="39" name="Shape 39"/>
          <xdr:cNvCxnSpPr>
            <a:stCxn id="38" idx="2"/>
            <a:endCxn id="40" idx="1"/>
          </xdr:cNvCxnSpPr>
        </xdr:nvCxnSpPr>
        <xdr:spPr>
          <a:xfrm flipH="1" rot="-5400000">
            <a:off x="1396475" y="788883"/>
            <a:ext cx="420900" cy="198000"/>
          </a:xfrm>
          <a:prstGeom prst="bentConnector2">
            <a:avLst/>
          </a:prstGeom>
          <a:noFill/>
          <a:ln cap="flat" cmpd="sng" w="59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40" name="Shape 40"/>
          <xdr:cNvSpPr/>
        </xdr:nvSpPr>
        <xdr:spPr>
          <a:xfrm>
            <a:off x="1705918" y="796215"/>
            <a:ext cx="1539300" cy="604500"/>
          </a:xfrm>
          <a:prstGeom prst="rect">
            <a:avLst/>
          </a:prstGeom>
          <a:solidFill>
            <a:srgbClr val="D9EAD3"/>
          </a:solidFill>
          <a:ln cap="flat" cmpd="sng" w="59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56875" lIns="56875" spcFirstLastPara="1" rIns="56875" wrap="square" tIns="568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4</a:t>
            </a:r>
            <a:r>
              <a:rPr lang="en-US" sz="1000"/>
              <a:t>.1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Desarrollo de Épicas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(4%)</a:t>
            </a:r>
            <a:endParaRPr sz="1000"/>
          </a:p>
        </xdr:txBody>
      </xdr:sp>
      <xdr:cxnSp>
        <xdr:nvCxnSpPr>
          <xdr:cNvPr id="41" name="Shape 41"/>
          <xdr:cNvCxnSpPr>
            <a:stCxn id="38" idx="2"/>
            <a:endCxn id="42" idx="1"/>
          </xdr:cNvCxnSpPr>
        </xdr:nvCxnSpPr>
        <xdr:spPr>
          <a:xfrm flipH="1" rot="-5400000">
            <a:off x="1072625" y="1112733"/>
            <a:ext cx="1068600" cy="198000"/>
          </a:xfrm>
          <a:prstGeom prst="bentConnector2">
            <a:avLst/>
          </a:prstGeom>
          <a:noFill/>
          <a:ln cap="flat" cmpd="sng" w="59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42" name="Shape 42"/>
          <xdr:cNvSpPr/>
        </xdr:nvSpPr>
        <xdr:spPr>
          <a:xfrm>
            <a:off x="1705918" y="1443808"/>
            <a:ext cx="1539300" cy="604500"/>
          </a:xfrm>
          <a:prstGeom prst="rect">
            <a:avLst/>
          </a:prstGeom>
          <a:solidFill>
            <a:srgbClr val="D9EAD3"/>
          </a:solidFill>
          <a:ln cap="flat" cmpd="sng" w="59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56875" lIns="56875" spcFirstLastPara="1" rIns="56875" wrap="square" tIns="568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4</a:t>
            </a:r>
            <a:r>
              <a:rPr lang="en-US" sz="1000"/>
              <a:t>.2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Creación y priorización del Product Backlog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(4%)</a:t>
            </a:r>
            <a:endParaRPr sz="1000"/>
          </a:p>
        </xdr:txBody>
      </xdr:sp>
      <xdr:cxnSp>
        <xdr:nvCxnSpPr>
          <xdr:cNvPr id="43" name="Shape 43"/>
          <xdr:cNvCxnSpPr>
            <a:stCxn id="38" idx="2"/>
            <a:endCxn id="44" idx="1"/>
          </xdr:cNvCxnSpPr>
        </xdr:nvCxnSpPr>
        <xdr:spPr>
          <a:xfrm flipH="1" rot="-5400000">
            <a:off x="748775" y="1436583"/>
            <a:ext cx="1716300" cy="198000"/>
          </a:xfrm>
          <a:prstGeom prst="bentConnector2">
            <a:avLst/>
          </a:prstGeom>
          <a:noFill/>
          <a:ln cap="flat" cmpd="sng" w="7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44" name="Shape 44"/>
          <xdr:cNvSpPr/>
        </xdr:nvSpPr>
        <xdr:spPr>
          <a:xfrm>
            <a:off x="1705917" y="2091378"/>
            <a:ext cx="1539300" cy="604500"/>
          </a:xfrm>
          <a:prstGeom prst="rect">
            <a:avLst/>
          </a:prstGeom>
          <a:solidFill>
            <a:srgbClr val="D9EAD3"/>
          </a:solidFill>
          <a:ln cap="flat" cmpd="sng" w="70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7600" lIns="67600" spcFirstLastPara="1" rIns="67600" wrap="square" tIns="676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4</a:t>
            </a:r>
            <a:r>
              <a:rPr lang="en-US" sz="1000"/>
              <a:t>.3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Definición de entregables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(1%)</a:t>
            </a:r>
            <a:endParaRPr sz="1000"/>
          </a:p>
        </xdr:txBody>
      </xdr:sp>
      <xdr:sp>
        <xdr:nvSpPr>
          <xdr:cNvPr id="45" name="Shape 45"/>
          <xdr:cNvSpPr/>
        </xdr:nvSpPr>
        <xdr:spPr>
          <a:xfrm>
            <a:off x="1705920" y="2738950"/>
            <a:ext cx="1539300" cy="604500"/>
          </a:xfrm>
          <a:prstGeom prst="rect">
            <a:avLst/>
          </a:prstGeom>
          <a:solidFill>
            <a:srgbClr val="D9EAD3"/>
          </a:solidFill>
          <a:ln cap="flat" cmpd="sng" w="70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7600" lIns="67600" spcFirstLastPara="1" rIns="67600" wrap="square" tIns="676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4</a:t>
            </a:r>
            <a:r>
              <a:rPr lang="en-US" sz="1000"/>
              <a:t>.4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Mapa de Historias de Usuario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(2%)</a:t>
            </a:r>
            <a:endParaRPr sz="1000"/>
          </a:p>
        </xdr:txBody>
      </xdr:sp>
      <xdr:sp>
        <xdr:nvSpPr>
          <xdr:cNvPr id="46" name="Shape 46"/>
          <xdr:cNvSpPr/>
        </xdr:nvSpPr>
        <xdr:spPr>
          <a:xfrm>
            <a:off x="1705925" y="3386525"/>
            <a:ext cx="1539300" cy="604500"/>
          </a:xfrm>
          <a:prstGeom prst="rect">
            <a:avLst/>
          </a:prstGeom>
          <a:solidFill>
            <a:srgbClr val="D9EAD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4</a:t>
            </a:r>
            <a:r>
              <a:rPr lang="en-US" sz="1000"/>
              <a:t>.5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Plan de lanzamiento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(1%)</a:t>
            </a:r>
            <a:endParaRPr sz="1000"/>
          </a:p>
        </xdr:txBody>
      </xdr:sp>
      <xdr:sp>
        <xdr:nvSpPr>
          <xdr:cNvPr id="47" name="Shape 47"/>
          <xdr:cNvSpPr/>
        </xdr:nvSpPr>
        <xdr:spPr>
          <a:xfrm>
            <a:off x="1705925" y="4034100"/>
            <a:ext cx="1539300" cy="604500"/>
          </a:xfrm>
          <a:prstGeom prst="rect">
            <a:avLst/>
          </a:prstGeom>
          <a:solidFill>
            <a:srgbClr val="D9EAD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4</a:t>
            </a:r>
            <a:r>
              <a:rPr lang="en-US" sz="1000"/>
              <a:t>.6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Sprint 1 - Diseño del sistema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(20%)</a:t>
            </a:r>
            <a:endParaRPr sz="1000"/>
          </a:p>
        </xdr:txBody>
      </xdr:sp>
      <xdr:cxnSp>
        <xdr:nvCxnSpPr>
          <xdr:cNvPr id="48" name="Shape 48"/>
          <xdr:cNvCxnSpPr>
            <a:stCxn id="38" idx="2"/>
            <a:endCxn id="45" idx="1"/>
          </xdr:cNvCxnSpPr>
        </xdr:nvCxnSpPr>
        <xdr:spPr>
          <a:xfrm flipH="1" rot="-5400000">
            <a:off x="425075" y="1760283"/>
            <a:ext cx="2363700" cy="198000"/>
          </a:xfrm>
          <a:prstGeom prst="bentConnector2">
            <a:avLst/>
          </a:prstGeom>
          <a:noFill/>
          <a:ln cap="flat" cmpd="sng" w="7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49" name="Shape 49"/>
          <xdr:cNvCxnSpPr>
            <a:stCxn id="38" idx="2"/>
            <a:endCxn id="46" idx="1"/>
          </xdr:cNvCxnSpPr>
        </xdr:nvCxnSpPr>
        <xdr:spPr>
          <a:xfrm flipH="1" rot="-5400000">
            <a:off x="101225" y="2084133"/>
            <a:ext cx="3011400" cy="198000"/>
          </a:xfrm>
          <a:prstGeom prst="bentConnector2">
            <a:avLst/>
          </a:prstGeom>
          <a:noFill/>
          <a:ln cap="flat" cmpd="sng" w="7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50" name="Shape 50"/>
          <xdr:cNvCxnSpPr>
            <a:stCxn id="38" idx="2"/>
            <a:endCxn id="47" idx="1"/>
          </xdr:cNvCxnSpPr>
        </xdr:nvCxnSpPr>
        <xdr:spPr>
          <a:xfrm flipH="1" rot="-5400000">
            <a:off x="-222475" y="2407833"/>
            <a:ext cx="3658800" cy="198000"/>
          </a:xfrm>
          <a:prstGeom prst="bentConnector2">
            <a:avLst/>
          </a:prstGeom>
          <a:noFill/>
          <a:ln cap="flat" cmpd="sng" w="7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781050</xdr:colOff>
      <xdr:row>36</xdr:row>
      <xdr:rowOff>171450</xdr:rowOff>
    </xdr:from>
    <xdr:ext cx="1752600" cy="2247900"/>
    <xdr:grpSp>
      <xdr:nvGrpSpPr>
        <xdr:cNvPr id="2" name="Shape 2" title="Dibujo"/>
        <xdr:cNvGrpSpPr/>
      </xdr:nvGrpSpPr>
      <xdr:grpSpPr>
        <a:xfrm>
          <a:off x="642417" y="789015"/>
          <a:ext cx="2602801" cy="1906863"/>
          <a:chOff x="642417" y="789015"/>
          <a:chExt cx="2602801" cy="1906863"/>
        </a:xfrm>
      </xdr:grpSpPr>
      <xdr:cxnSp>
        <xdr:nvCxnSpPr>
          <xdr:cNvPr id="51" name="Shape 51"/>
          <xdr:cNvCxnSpPr>
            <a:stCxn id="52" idx="2"/>
            <a:endCxn id="53" idx="1"/>
          </xdr:cNvCxnSpPr>
        </xdr:nvCxnSpPr>
        <xdr:spPr>
          <a:xfrm flipH="1" rot="-5400000">
            <a:off x="1396468" y="789015"/>
            <a:ext cx="420900" cy="198000"/>
          </a:xfrm>
          <a:prstGeom prst="bentConnector2">
            <a:avLst/>
          </a:prstGeom>
          <a:noFill/>
          <a:ln cap="flat" cmpd="sng" w="59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53" name="Shape 53"/>
          <xdr:cNvSpPr/>
        </xdr:nvSpPr>
        <xdr:spPr>
          <a:xfrm>
            <a:off x="1705918" y="796215"/>
            <a:ext cx="1539300" cy="604500"/>
          </a:xfrm>
          <a:prstGeom prst="rect">
            <a:avLst/>
          </a:prstGeom>
          <a:solidFill>
            <a:srgbClr val="D9EAD3"/>
          </a:solidFill>
          <a:ln cap="flat" cmpd="sng" w="59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56875" lIns="56875" spcFirstLastPara="1" rIns="56875" wrap="square" tIns="568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4.7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Base de datos 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(20%)</a:t>
            </a:r>
            <a:endParaRPr sz="1000"/>
          </a:p>
        </xdr:txBody>
      </xdr:sp>
      <xdr:cxnSp>
        <xdr:nvCxnSpPr>
          <xdr:cNvPr id="54" name="Shape 54"/>
          <xdr:cNvCxnSpPr>
            <a:stCxn id="52" idx="2"/>
            <a:endCxn id="55" idx="1"/>
          </xdr:cNvCxnSpPr>
        </xdr:nvCxnSpPr>
        <xdr:spPr>
          <a:xfrm flipH="1" rot="-5400000">
            <a:off x="1072618" y="1112758"/>
            <a:ext cx="1068600" cy="198000"/>
          </a:xfrm>
          <a:prstGeom prst="bentConnector2">
            <a:avLst/>
          </a:prstGeom>
          <a:noFill/>
          <a:ln cap="flat" cmpd="sng" w="59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55" name="Shape 55"/>
          <xdr:cNvSpPr/>
        </xdr:nvSpPr>
        <xdr:spPr>
          <a:xfrm>
            <a:off x="1705918" y="1443808"/>
            <a:ext cx="1539300" cy="604500"/>
          </a:xfrm>
          <a:prstGeom prst="rect">
            <a:avLst/>
          </a:prstGeom>
          <a:solidFill>
            <a:srgbClr val="D9EAD3"/>
          </a:solidFill>
          <a:ln cap="flat" cmpd="sng" w="59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56875" lIns="56875" spcFirstLastPara="1" rIns="56875" wrap="square" tIns="568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4.8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Desarrollo de funcionalidades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(24%)</a:t>
            </a:r>
            <a:endParaRPr sz="1000"/>
          </a:p>
        </xdr:txBody>
      </xdr:sp>
      <xdr:cxnSp>
        <xdr:nvCxnSpPr>
          <xdr:cNvPr id="56" name="Shape 56"/>
          <xdr:cNvCxnSpPr>
            <a:endCxn id="57" idx="1"/>
          </xdr:cNvCxnSpPr>
        </xdr:nvCxnSpPr>
        <xdr:spPr>
          <a:xfrm flipH="1" rot="-5400000">
            <a:off x="642417" y="1330128"/>
            <a:ext cx="1930200" cy="196800"/>
          </a:xfrm>
          <a:prstGeom prst="bentConnector2">
            <a:avLst/>
          </a:prstGeom>
          <a:noFill/>
          <a:ln cap="flat" cmpd="sng" w="7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57" name="Shape 57"/>
          <xdr:cNvSpPr/>
        </xdr:nvSpPr>
        <xdr:spPr>
          <a:xfrm>
            <a:off x="1705917" y="2091378"/>
            <a:ext cx="1539300" cy="604500"/>
          </a:xfrm>
          <a:prstGeom prst="rect">
            <a:avLst/>
          </a:prstGeom>
          <a:solidFill>
            <a:srgbClr val="D9EAD3"/>
          </a:solidFill>
          <a:ln cap="flat" cmpd="sng" w="70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7600" lIns="67600" spcFirstLastPara="1" rIns="67600" wrap="square" tIns="676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4.9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Integración del sistema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(24%)</a:t>
            </a:r>
            <a:endParaRPr sz="1000"/>
          </a:p>
        </xdr:txBody>
      </xdr:sp>
    </xdr:grpSp>
    <xdr:clientData fLocksWithSheet="0"/>
  </xdr:oneCellAnchor>
  <xdr:oneCellAnchor>
    <xdr:from>
      <xdr:col>12</xdr:col>
      <xdr:colOff>952500</xdr:colOff>
      <xdr:row>14</xdr:row>
      <xdr:rowOff>190500</xdr:rowOff>
    </xdr:from>
    <xdr:ext cx="2524125" cy="4591050"/>
    <xdr:grpSp>
      <xdr:nvGrpSpPr>
        <xdr:cNvPr id="2" name="Shape 2" title="Dibujo"/>
        <xdr:cNvGrpSpPr/>
      </xdr:nvGrpSpPr>
      <xdr:grpSpPr>
        <a:xfrm>
          <a:off x="-222475" y="72933"/>
          <a:ext cx="3658800" cy="4565667"/>
          <a:chOff x="-222475" y="72933"/>
          <a:chExt cx="3658800" cy="4565667"/>
        </a:xfrm>
      </xdr:grpSpPr>
      <xdr:sp>
        <xdr:nvSpPr>
          <xdr:cNvPr id="58" name="Shape 58"/>
          <xdr:cNvSpPr/>
        </xdr:nvSpPr>
        <xdr:spPr>
          <a:xfrm>
            <a:off x="738275" y="72933"/>
            <a:ext cx="1539300" cy="604500"/>
          </a:xfrm>
          <a:prstGeom prst="rect">
            <a:avLst/>
          </a:prstGeom>
          <a:solidFill>
            <a:srgbClr val="F6B26B"/>
          </a:solidFill>
          <a:ln cap="flat" cmpd="sng" w="59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56875" lIns="56875" spcFirstLastPara="1" rIns="56875" wrap="square" tIns="568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000">
                <a:solidFill>
                  <a:srgbClr val="FFFFFF"/>
                </a:solidFill>
              </a:rPr>
              <a:t>5</a:t>
            </a:r>
            <a:endParaRPr b="1" sz="1000">
              <a:solidFill>
                <a:srgbClr val="FFFFFF"/>
              </a:solidFill>
            </a:endParaRPr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000">
                <a:solidFill>
                  <a:srgbClr val="FFFFFF"/>
                </a:solidFill>
              </a:rPr>
              <a:t>Pruebas y Validaciones</a:t>
            </a:r>
            <a:endParaRPr b="1" sz="1000">
              <a:solidFill>
                <a:srgbClr val="FFFFFF"/>
              </a:solidFill>
            </a:endParaRPr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000">
                <a:solidFill>
                  <a:srgbClr val="FFFFFF"/>
                </a:solidFill>
              </a:rPr>
              <a:t>(9%)</a:t>
            </a:r>
            <a:endParaRPr b="1" sz="1000">
              <a:solidFill>
                <a:srgbClr val="FFFFFF"/>
              </a:solidFill>
            </a:endParaRPr>
          </a:p>
        </xdr:txBody>
      </xdr:sp>
      <xdr:cxnSp>
        <xdr:nvCxnSpPr>
          <xdr:cNvPr id="59" name="Shape 59"/>
          <xdr:cNvCxnSpPr>
            <a:stCxn id="58" idx="2"/>
            <a:endCxn id="60" idx="1"/>
          </xdr:cNvCxnSpPr>
        </xdr:nvCxnSpPr>
        <xdr:spPr>
          <a:xfrm flipH="1" rot="-5400000">
            <a:off x="1396475" y="788883"/>
            <a:ext cx="420900" cy="198000"/>
          </a:xfrm>
          <a:prstGeom prst="bentConnector2">
            <a:avLst/>
          </a:prstGeom>
          <a:noFill/>
          <a:ln cap="flat" cmpd="sng" w="59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60" name="Shape 60"/>
          <xdr:cNvSpPr/>
        </xdr:nvSpPr>
        <xdr:spPr>
          <a:xfrm>
            <a:off x="1705918" y="796215"/>
            <a:ext cx="1539300" cy="604500"/>
          </a:xfrm>
          <a:prstGeom prst="rect">
            <a:avLst/>
          </a:prstGeom>
          <a:solidFill>
            <a:srgbClr val="FCE5CD"/>
          </a:solidFill>
          <a:ln cap="flat" cmpd="sng" w="59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56875" lIns="56875" spcFirstLastPara="1" rIns="56875" wrap="square" tIns="568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5</a:t>
            </a:r>
            <a:r>
              <a:rPr lang="en-US" sz="1000"/>
              <a:t>.1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Plan de pruebas de calidad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(13%)</a:t>
            </a:r>
            <a:endParaRPr sz="1000"/>
          </a:p>
        </xdr:txBody>
      </xdr:sp>
      <xdr:cxnSp>
        <xdr:nvCxnSpPr>
          <xdr:cNvPr id="61" name="Shape 61"/>
          <xdr:cNvCxnSpPr>
            <a:stCxn id="58" idx="2"/>
            <a:endCxn id="62" idx="1"/>
          </xdr:cNvCxnSpPr>
        </xdr:nvCxnSpPr>
        <xdr:spPr>
          <a:xfrm flipH="1" rot="-5400000">
            <a:off x="1072625" y="1112733"/>
            <a:ext cx="1068600" cy="198000"/>
          </a:xfrm>
          <a:prstGeom prst="bentConnector2">
            <a:avLst/>
          </a:prstGeom>
          <a:noFill/>
          <a:ln cap="flat" cmpd="sng" w="59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62" name="Shape 62"/>
          <xdr:cNvSpPr/>
        </xdr:nvSpPr>
        <xdr:spPr>
          <a:xfrm>
            <a:off x="1705918" y="1443808"/>
            <a:ext cx="1539300" cy="604500"/>
          </a:xfrm>
          <a:prstGeom prst="rect">
            <a:avLst/>
          </a:prstGeom>
          <a:solidFill>
            <a:srgbClr val="FCE5CD"/>
          </a:solidFill>
          <a:ln cap="flat" cmpd="sng" w="59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56875" lIns="56875" spcFirstLastPara="1" rIns="56875" wrap="square" tIns="568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5</a:t>
            </a:r>
            <a:r>
              <a:rPr lang="en-US" sz="1000"/>
              <a:t>.2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Pruebas Funcionales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(15%)</a:t>
            </a:r>
            <a:endParaRPr sz="1000"/>
          </a:p>
        </xdr:txBody>
      </xdr:sp>
      <xdr:cxnSp>
        <xdr:nvCxnSpPr>
          <xdr:cNvPr id="63" name="Shape 63"/>
          <xdr:cNvCxnSpPr>
            <a:stCxn id="58" idx="2"/>
            <a:endCxn id="64" idx="1"/>
          </xdr:cNvCxnSpPr>
        </xdr:nvCxnSpPr>
        <xdr:spPr>
          <a:xfrm flipH="1" rot="-5400000">
            <a:off x="748775" y="1436583"/>
            <a:ext cx="1716300" cy="198000"/>
          </a:xfrm>
          <a:prstGeom prst="bentConnector2">
            <a:avLst/>
          </a:prstGeom>
          <a:noFill/>
          <a:ln cap="flat" cmpd="sng" w="7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64" name="Shape 64"/>
          <xdr:cNvSpPr/>
        </xdr:nvSpPr>
        <xdr:spPr>
          <a:xfrm>
            <a:off x="1705917" y="2091378"/>
            <a:ext cx="1539300" cy="604500"/>
          </a:xfrm>
          <a:prstGeom prst="rect">
            <a:avLst/>
          </a:prstGeom>
          <a:solidFill>
            <a:srgbClr val="FCE5CD"/>
          </a:solidFill>
          <a:ln cap="flat" cmpd="sng" w="70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7600" lIns="67600" spcFirstLastPara="1" rIns="67600" wrap="square" tIns="676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5</a:t>
            </a:r>
            <a:r>
              <a:rPr lang="en-US" sz="1000"/>
              <a:t>.3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Pruebas No Funcionales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(10%)</a:t>
            </a:r>
            <a:endParaRPr sz="1000"/>
          </a:p>
        </xdr:txBody>
      </xdr:sp>
      <xdr:sp>
        <xdr:nvSpPr>
          <xdr:cNvPr id="65" name="Shape 65"/>
          <xdr:cNvSpPr/>
        </xdr:nvSpPr>
        <xdr:spPr>
          <a:xfrm>
            <a:off x="1705920" y="2738950"/>
            <a:ext cx="1539300" cy="604500"/>
          </a:xfrm>
          <a:prstGeom prst="rect">
            <a:avLst/>
          </a:prstGeom>
          <a:solidFill>
            <a:srgbClr val="FCE5CD"/>
          </a:solidFill>
          <a:ln cap="flat" cmpd="sng" w="70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7600" lIns="67600" spcFirstLastPara="1" rIns="67600" wrap="square" tIns="676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5</a:t>
            </a:r>
            <a:r>
              <a:rPr lang="en-US" sz="1000"/>
              <a:t>.4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Corrección de errores y ajustes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(30%)</a:t>
            </a:r>
            <a:endParaRPr sz="1000"/>
          </a:p>
        </xdr:txBody>
      </xdr:sp>
      <xdr:sp>
        <xdr:nvSpPr>
          <xdr:cNvPr id="66" name="Shape 66"/>
          <xdr:cNvSpPr/>
        </xdr:nvSpPr>
        <xdr:spPr>
          <a:xfrm>
            <a:off x="1705925" y="3386525"/>
            <a:ext cx="1539300" cy="604500"/>
          </a:xfrm>
          <a:prstGeom prst="rect">
            <a:avLst/>
          </a:prstGeom>
          <a:solidFill>
            <a:srgbClr val="FCE5CD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5</a:t>
            </a:r>
            <a:r>
              <a:rPr lang="en-US" sz="1000"/>
              <a:t>.5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Validación del proyecto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(16%)</a:t>
            </a:r>
            <a:endParaRPr sz="1000"/>
          </a:p>
        </xdr:txBody>
      </xdr:sp>
      <xdr:sp>
        <xdr:nvSpPr>
          <xdr:cNvPr id="67" name="Shape 67"/>
          <xdr:cNvSpPr/>
        </xdr:nvSpPr>
        <xdr:spPr>
          <a:xfrm>
            <a:off x="1705925" y="4034100"/>
            <a:ext cx="1539300" cy="604500"/>
          </a:xfrm>
          <a:prstGeom prst="rect">
            <a:avLst/>
          </a:prstGeom>
          <a:solidFill>
            <a:srgbClr val="FCE5CD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5</a:t>
            </a:r>
            <a:r>
              <a:rPr lang="en-US" sz="1000"/>
              <a:t>.6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Evaluación y factibilidad económica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(15%)</a:t>
            </a:r>
            <a:endParaRPr sz="1000"/>
          </a:p>
        </xdr:txBody>
      </xdr:sp>
      <xdr:cxnSp>
        <xdr:nvCxnSpPr>
          <xdr:cNvPr id="68" name="Shape 68"/>
          <xdr:cNvCxnSpPr>
            <a:stCxn id="58" idx="2"/>
            <a:endCxn id="65" idx="1"/>
          </xdr:cNvCxnSpPr>
        </xdr:nvCxnSpPr>
        <xdr:spPr>
          <a:xfrm flipH="1" rot="-5400000">
            <a:off x="425075" y="1760283"/>
            <a:ext cx="2363700" cy="198000"/>
          </a:xfrm>
          <a:prstGeom prst="bentConnector2">
            <a:avLst/>
          </a:prstGeom>
          <a:noFill/>
          <a:ln cap="flat" cmpd="sng" w="7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69" name="Shape 69"/>
          <xdr:cNvCxnSpPr>
            <a:stCxn id="58" idx="2"/>
            <a:endCxn id="66" idx="1"/>
          </xdr:cNvCxnSpPr>
        </xdr:nvCxnSpPr>
        <xdr:spPr>
          <a:xfrm flipH="1" rot="-5400000">
            <a:off x="101225" y="2084133"/>
            <a:ext cx="3011400" cy="198000"/>
          </a:xfrm>
          <a:prstGeom prst="bentConnector2">
            <a:avLst/>
          </a:prstGeom>
          <a:noFill/>
          <a:ln cap="flat" cmpd="sng" w="7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70" name="Shape 70"/>
          <xdr:cNvCxnSpPr>
            <a:stCxn id="58" idx="2"/>
            <a:endCxn id="67" idx="1"/>
          </xdr:cNvCxnSpPr>
        </xdr:nvCxnSpPr>
        <xdr:spPr>
          <a:xfrm flipH="1" rot="-5400000">
            <a:off x="-222475" y="2407833"/>
            <a:ext cx="3658800" cy="198000"/>
          </a:xfrm>
          <a:prstGeom prst="bentConnector2">
            <a:avLst/>
          </a:prstGeom>
          <a:noFill/>
          <a:ln cap="flat" cmpd="sng" w="7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15</xdr:col>
      <xdr:colOff>942975</xdr:colOff>
      <xdr:row>14</xdr:row>
      <xdr:rowOff>190500</xdr:rowOff>
    </xdr:from>
    <xdr:ext cx="2524125" cy="3943350"/>
    <xdr:grpSp>
      <xdr:nvGrpSpPr>
        <xdr:cNvPr id="2" name="Shape 2" title="Dibujo"/>
        <xdr:cNvGrpSpPr/>
      </xdr:nvGrpSpPr>
      <xdr:grpSpPr>
        <a:xfrm>
          <a:off x="101225" y="72933"/>
          <a:ext cx="3144000" cy="3918092"/>
          <a:chOff x="101225" y="72933"/>
          <a:chExt cx="3144000" cy="3918092"/>
        </a:xfrm>
      </xdr:grpSpPr>
      <xdr:sp>
        <xdr:nvSpPr>
          <xdr:cNvPr id="71" name="Shape 71"/>
          <xdr:cNvSpPr/>
        </xdr:nvSpPr>
        <xdr:spPr>
          <a:xfrm>
            <a:off x="738275" y="72933"/>
            <a:ext cx="1539300" cy="604500"/>
          </a:xfrm>
          <a:prstGeom prst="rect">
            <a:avLst/>
          </a:prstGeom>
          <a:solidFill>
            <a:srgbClr val="E06666"/>
          </a:solidFill>
          <a:ln cap="flat" cmpd="sng" w="59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56875" lIns="56875" spcFirstLastPara="1" rIns="56875" wrap="square" tIns="568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000">
                <a:solidFill>
                  <a:srgbClr val="FFFFFF"/>
                </a:solidFill>
              </a:rPr>
              <a:t>6</a:t>
            </a:r>
            <a:endParaRPr b="1" sz="1000">
              <a:solidFill>
                <a:srgbClr val="FFFFFF"/>
              </a:solidFill>
            </a:endParaRPr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000">
                <a:solidFill>
                  <a:srgbClr val="FFFFFF"/>
                </a:solidFill>
              </a:rPr>
              <a:t>Despliegue y Cierre del proyecto</a:t>
            </a:r>
            <a:endParaRPr b="1" sz="1000">
              <a:solidFill>
                <a:srgbClr val="FFFFFF"/>
              </a:solidFill>
            </a:endParaRPr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000">
                <a:solidFill>
                  <a:srgbClr val="FFFFFF"/>
                </a:solidFill>
              </a:rPr>
              <a:t>(12%)</a:t>
            </a:r>
            <a:endParaRPr b="1" sz="1000">
              <a:solidFill>
                <a:srgbClr val="FFFFFF"/>
              </a:solidFill>
            </a:endParaRPr>
          </a:p>
        </xdr:txBody>
      </xdr:sp>
      <xdr:cxnSp>
        <xdr:nvCxnSpPr>
          <xdr:cNvPr id="72" name="Shape 72"/>
          <xdr:cNvCxnSpPr>
            <a:stCxn id="71" idx="2"/>
            <a:endCxn id="73" idx="1"/>
          </xdr:cNvCxnSpPr>
        </xdr:nvCxnSpPr>
        <xdr:spPr>
          <a:xfrm flipH="1" rot="-5400000">
            <a:off x="1396475" y="788883"/>
            <a:ext cx="420900" cy="198000"/>
          </a:xfrm>
          <a:prstGeom prst="bentConnector2">
            <a:avLst/>
          </a:prstGeom>
          <a:noFill/>
          <a:ln cap="flat" cmpd="sng" w="59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73" name="Shape 73"/>
          <xdr:cNvSpPr/>
        </xdr:nvSpPr>
        <xdr:spPr>
          <a:xfrm>
            <a:off x="1705918" y="796215"/>
            <a:ext cx="1539300" cy="604500"/>
          </a:xfrm>
          <a:prstGeom prst="rect">
            <a:avLst/>
          </a:prstGeom>
          <a:solidFill>
            <a:srgbClr val="F4CCCC"/>
          </a:solidFill>
          <a:ln cap="flat" cmpd="sng" w="59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56875" lIns="56875" spcFirstLastPara="1" rIns="56875" wrap="square" tIns="568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3.1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Arquitectura de despliegue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(16%)</a:t>
            </a:r>
            <a:endParaRPr sz="1000"/>
          </a:p>
        </xdr:txBody>
      </xdr:sp>
      <xdr:cxnSp>
        <xdr:nvCxnSpPr>
          <xdr:cNvPr id="74" name="Shape 74"/>
          <xdr:cNvCxnSpPr>
            <a:stCxn id="71" idx="2"/>
            <a:endCxn id="75" idx="1"/>
          </xdr:cNvCxnSpPr>
        </xdr:nvCxnSpPr>
        <xdr:spPr>
          <a:xfrm flipH="1" rot="-5400000">
            <a:off x="1072625" y="1112733"/>
            <a:ext cx="1068600" cy="198000"/>
          </a:xfrm>
          <a:prstGeom prst="bentConnector2">
            <a:avLst/>
          </a:prstGeom>
          <a:noFill/>
          <a:ln cap="flat" cmpd="sng" w="59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75" name="Shape 75"/>
          <xdr:cNvSpPr/>
        </xdr:nvSpPr>
        <xdr:spPr>
          <a:xfrm>
            <a:off x="1705918" y="1443808"/>
            <a:ext cx="1539300" cy="604500"/>
          </a:xfrm>
          <a:prstGeom prst="rect">
            <a:avLst/>
          </a:prstGeom>
          <a:solidFill>
            <a:srgbClr val="F4CCCC"/>
          </a:solidFill>
          <a:ln cap="flat" cmpd="sng" w="59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56875" lIns="56875" spcFirstLastPara="1" rIns="56875" wrap="square" tIns="5687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3.2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Manual de instalación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(25%)</a:t>
            </a:r>
            <a:endParaRPr sz="1000"/>
          </a:p>
        </xdr:txBody>
      </xdr:sp>
      <xdr:cxnSp>
        <xdr:nvCxnSpPr>
          <xdr:cNvPr id="76" name="Shape 76"/>
          <xdr:cNvCxnSpPr>
            <a:stCxn id="71" idx="2"/>
            <a:endCxn id="77" idx="1"/>
          </xdr:cNvCxnSpPr>
        </xdr:nvCxnSpPr>
        <xdr:spPr>
          <a:xfrm flipH="1" rot="-5400000">
            <a:off x="748775" y="1436583"/>
            <a:ext cx="1716300" cy="198000"/>
          </a:xfrm>
          <a:prstGeom prst="bentConnector2">
            <a:avLst/>
          </a:prstGeom>
          <a:noFill/>
          <a:ln cap="flat" cmpd="sng" w="7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77" name="Shape 77"/>
          <xdr:cNvSpPr/>
        </xdr:nvSpPr>
        <xdr:spPr>
          <a:xfrm>
            <a:off x="1705917" y="2091378"/>
            <a:ext cx="1539300" cy="604500"/>
          </a:xfrm>
          <a:prstGeom prst="rect">
            <a:avLst/>
          </a:prstGeom>
          <a:solidFill>
            <a:srgbClr val="F4CCCC"/>
          </a:solidFill>
          <a:ln cap="flat" cmpd="sng" w="70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7600" lIns="67600" spcFirstLastPara="1" rIns="67600" wrap="square" tIns="676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3.3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Manual de usuario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(24%)</a:t>
            </a:r>
            <a:endParaRPr sz="1000"/>
          </a:p>
        </xdr:txBody>
      </xdr:sp>
      <xdr:sp>
        <xdr:nvSpPr>
          <xdr:cNvPr id="78" name="Shape 78"/>
          <xdr:cNvSpPr/>
        </xdr:nvSpPr>
        <xdr:spPr>
          <a:xfrm>
            <a:off x="1705920" y="2738950"/>
            <a:ext cx="1539300" cy="604500"/>
          </a:xfrm>
          <a:prstGeom prst="rect">
            <a:avLst/>
          </a:prstGeom>
          <a:solidFill>
            <a:srgbClr val="F4CCCC"/>
          </a:solidFill>
          <a:ln cap="flat" cmpd="sng" w="70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7600" lIns="67600" spcFirstLastPara="1" rIns="67600" wrap="square" tIns="676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3.4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Plan de continuidad y mantenimiento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(32%)</a:t>
            </a:r>
            <a:endParaRPr sz="1000"/>
          </a:p>
        </xdr:txBody>
      </xdr:sp>
      <xdr:sp>
        <xdr:nvSpPr>
          <xdr:cNvPr id="79" name="Shape 79"/>
          <xdr:cNvSpPr/>
        </xdr:nvSpPr>
        <xdr:spPr>
          <a:xfrm>
            <a:off x="1705925" y="3386525"/>
            <a:ext cx="1539300" cy="604500"/>
          </a:xfrm>
          <a:prstGeom prst="rect">
            <a:avLst/>
          </a:prstGeom>
          <a:solidFill>
            <a:srgbClr val="F4CCCC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3.5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Cierre del proyecto</a:t>
            </a:r>
            <a:endParaRPr sz="10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(3%)</a:t>
            </a:r>
            <a:endParaRPr sz="1000"/>
          </a:p>
        </xdr:txBody>
      </xdr:sp>
      <xdr:cxnSp>
        <xdr:nvCxnSpPr>
          <xdr:cNvPr id="80" name="Shape 80"/>
          <xdr:cNvCxnSpPr>
            <a:stCxn id="71" idx="2"/>
            <a:endCxn id="78" idx="1"/>
          </xdr:cNvCxnSpPr>
        </xdr:nvCxnSpPr>
        <xdr:spPr>
          <a:xfrm flipH="1" rot="-5400000">
            <a:off x="425075" y="1760283"/>
            <a:ext cx="2363700" cy="198000"/>
          </a:xfrm>
          <a:prstGeom prst="bentConnector2">
            <a:avLst/>
          </a:prstGeom>
          <a:noFill/>
          <a:ln cap="flat" cmpd="sng" w="7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81" name="Shape 81"/>
          <xdr:cNvCxnSpPr>
            <a:stCxn id="71" idx="2"/>
            <a:endCxn id="79" idx="1"/>
          </xdr:cNvCxnSpPr>
        </xdr:nvCxnSpPr>
        <xdr:spPr>
          <a:xfrm flipH="1" rot="-5400000">
            <a:off x="101225" y="2084133"/>
            <a:ext cx="3011400" cy="198000"/>
          </a:xfrm>
          <a:prstGeom prst="bentConnector2">
            <a:avLst/>
          </a:prstGeom>
          <a:noFill/>
          <a:ln cap="flat" cmpd="sng" w="7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8"/>
      <c r="C15" s="19"/>
      <c r="D15" s="20"/>
      <c r="E15" s="21"/>
      <c r="F15" s="19"/>
      <c r="G15" s="20"/>
      <c r="H15" s="22"/>
      <c r="I15" s="23"/>
      <c r="J15" s="20"/>
      <c r="K15" s="22"/>
      <c r="L15" s="23"/>
      <c r="M15" s="20"/>
      <c r="N15" s="22"/>
      <c r="O15" s="23"/>
      <c r="P15" s="20"/>
      <c r="Q15" s="22"/>
      <c r="R15" s="24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27.0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27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0"/>
    <col customWidth="1" min="3" max="3" width="24.0"/>
    <col customWidth="1" min="4" max="4" width="48.0"/>
    <col customWidth="1" min="5" max="5" width="28.0"/>
    <col customWidth="1" min="6" max="7" width="32.0"/>
    <col customWidth="1" min="8" max="8" width="29.63"/>
    <col customWidth="1" min="9" max="9" width="38.75"/>
    <col customWidth="1" min="10" max="26" width="9.0"/>
  </cols>
  <sheetData>
    <row r="1" ht="15.0" customHeight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>
      <c r="A2" s="4">
        <v>1.0</v>
      </c>
      <c r="B2" s="6"/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>
        <v>2.0</v>
      </c>
      <c r="B3" s="4">
        <v>1.0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>
        <v>3.0</v>
      </c>
      <c r="B4" s="11">
        <v>46023.0</v>
      </c>
      <c r="C4" s="4" t="s">
        <v>26</v>
      </c>
      <c r="D4" s="4" t="s">
        <v>27</v>
      </c>
      <c r="E4" s="4" t="s">
        <v>20</v>
      </c>
      <c r="F4" s="4" t="s">
        <v>28</v>
      </c>
      <c r="G4" s="4" t="s">
        <v>29</v>
      </c>
      <c r="H4" s="4" t="s">
        <v>30</v>
      </c>
      <c r="I4" s="4" t="s">
        <v>31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>
        <v>3.0</v>
      </c>
      <c r="B5" s="11">
        <v>46054.0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37</v>
      </c>
      <c r="I5" s="4" t="s">
        <v>38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>
        <v>3.0</v>
      </c>
      <c r="B6" s="11">
        <v>46082.0</v>
      </c>
      <c r="C6" s="4" t="s">
        <v>39</v>
      </c>
      <c r="D6" s="4" t="s">
        <v>40</v>
      </c>
      <c r="E6" s="4" t="s">
        <v>41</v>
      </c>
      <c r="F6" s="4" t="s">
        <v>42</v>
      </c>
      <c r="G6" s="4" t="s">
        <v>43</v>
      </c>
      <c r="H6" s="4" t="s">
        <v>44</v>
      </c>
      <c r="I6" s="4" t="s">
        <v>45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>
        <v>3.0</v>
      </c>
      <c r="B7" s="11">
        <v>46113.0</v>
      </c>
      <c r="C7" s="4" t="s">
        <v>39</v>
      </c>
      <c r="D7" s="4" t="s">
        <v>40</v>
      </c>
      <c r="E7" s="4" t="s">
        <v>41</v>
      </c>
      <c r="F7" s="4" t="s">
        <v>42</v>
      </c>
      <c r="G7" s="4" t="s">
        <v>43</v>
      </c>
      <c r="H7" s="4" t="s">
        <v>44</v>
      </c>
      <c r="I7" s="4" t="s">
        <v>46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4">
        <v>3.0</v>
      </c>
      <c r="B8" s="11">
        <v>46143.0</v>
      </c>
      <c r="C8" s="4" t="s">
        <v>47</v>
      </c>
      <c r="D8" s="4" t="s">
        <v>48</v>
      </c>
      <c r="E8" s="4" t="s">
        <v>41</v>
      </c>
      <c r="F8" s="4" t="s">
        <v>49</v>
      </c>
      <c r="G8" s="4" t="s">
        <v>50</v>
      </c>
      <c r="H8" s="4" t="s">
        <v>51</v>
      </c>
      <c r="I8" s="4" t="s">
        <v>52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4">
        <v>3.0</v>
      </c>
      <c r="B9" s="11">
        <v>46174.0</v>
      </c>
      <c r="C9" s="4" t="s">
        <v>53</v>
      </c>
      <c r="D9" s="4" t="s">
        <v>54</v>
      </c>
      <c r="E9" s="4" t="s">
        <v>20</v>
      </c>
      <c r="F9" s="4" t="s">
        <v>55</v>
      </c>
      <c r="G9" s="4" t="s">
        <v>56</v>
      </c>
      <c r="H9" s="4" t="s">
        <v>57</v>
      </c>
      <c r="I9" s="4" t="s">
        <v>58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4">
        <v>2.0</v>
      </c>
      <c r="B10" s="4">
        <v>2.0</v>
      </c>
      <c r="C10" s="4" t="s">
        <v>59</v>
      </c>
      <c r="D10" s="4" t="s">
        <v>60</v>
      </c>
      <c r="E10" s="4" t="s">
        <v>20</v>
      </c>
      <c r="F10" s="4" t="s">
        <v>61</v>
      </c>
      <c r="G10" s="4" t="s">
        <v>62</v>
      </c>
      <c r="H10" s="4" t="s">
        <v>63</v>
      </c>
      <c r="I10" s="4" t="s">
        <v>64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">
        <v>3.0</v>
      </c>
      <c r="B11" s="11">
        <v>46024.0</v>
      </c>
      <c r="C11" s="4" t="s">
        <v>65</v>
      </c>
      <c r="D11" s="4" t="s">
        <v>66</v>
      </c>
      <c r="E11" s="4" t="s">
        <v>67</v>
      </c>
      <c r="F11" s="4" t="s">
        <v>68</v>
      </c>
      <c r="G11" s="4" t="s">
        <v>69</v>
      </c>
      <c r="H11" s="4" t="s">
        <v>70</v>
      </c>
      <c r="I11" s="4" t="s">
        <v>71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4">
        <v>3.0</v>
      </c>
      <c r="B12" s="11">
        <v>46055.0</v>
      </c>
      <c r="C12" s="4" t="s">
        <v>72</v>
      </c>
      <c r="D12" s="4" t="s">
        <v>73</v>
      </c>
      <c r="E12" s="4" t="s">
        <v>74</v>
      </c>
      <c r="F12" s="4" t="s">
        <v>75</v>
      </c>
      <c r="G12" s="4" t="s">
        <v>76</v>
      </c>
      <c r="H12" s="4" t="s">
        <v>77</v>
      </c>
      <c r="I12" s="4" t="s">
        <v>78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4">
        <v>3.0</v>
      </c>
      <c r="B13" s="11">
        <v>46083.0</v>
      </c>
      <c r="C13" s="4" t="s">
        <v>79</v>
      </c>
      <c r="D13" s="4" t="s">
        <v>80</v>
      </c>
      <c r="E13" s="4" t="s">
        <v>41</v>
      </c>
      <c r="F13" s="4" t="s">
        <v>81</v>
      </c>
      <c r="G13" s="4" t="s">
        <v>82</v>
      </c>
      <c r="H13" s="4" t="s">
        <v>83</v>
      </c>
      <c r="I13" s="4" t="s">
        <v>84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">
        <v>3.0</v>
      </c>
      <c r="B14" s="11">
        <v>46114.0</v>
      </c>
      <c r="C14" s="4" t="s">
        <v>85</v>
      </c>
      <c r="D14" s="4" t="s">
        <v>86</v>
      </c>
      <c r="E14" s="4" t="s">
        <v>20</v>
      </c>
      <c r="F14" s="4" t="s">
        <v>87</v>
      </c>
      <c r="G14" s="4" t="s">
        <v>88</v>
      </c>
      <c r="H14" s="4" t="s">
        <v>89</v>
      </c>
      <c r="I14" s="4" t="s">
        <v>90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">
        <v>2.0</v>
      </c>
      <c r="B15" s="4">
        <v>3.0</v>
      </c>
      <c r="C15" s="4" t="s">
        <v>91</v>
      </c>
      <c r="D15" s="4" t="s">
        <v>92</v>
      </c>
      <c r="E15" s="4" t="s">
        <v>93</v>
      </c>
      <c r="F15" s="4" t="s">
        <v>94</v>
      </c>
      <c r="G15" s="4" t="s">
        <v>95</v>
      </c>
      <c r="H15" s="4" t="s">
        <v>96</v>
      </c>
      <c r="I15" s="4" t="s">
        <v>97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">
        <v>3.0</v>
      </c>
      <c r="B16" s="11">
        <v>46025.0</v>
      </c>
      <c r="C16" s="4" t="s">
        <v>98</v>
      </c>
      <c r="D16" s="4" t="s">
        <v>99</v>
      </c>
      <c r="E16" s="4" t="s">
        <v>100</v>
      </c>
      <c r="F16" s="4" t="s">
        <v>101</v>
      </c>
      <c r="G16" s="4" t="s">
        <v>102</v>
      </c>
      <c r="H16" s="4" t="s">
        <v>103</v>
      </c>
      <c r="I16" s="4" t="s">
        <v>104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4">
        <v>3.0</v>
      </c>
      <c r="B17" s="11">
        <v>46056.0</v>
      </c>
      <c r="C17" s="4" t="s">
        <v>105</v>
      </c>
      <c r="D17" s="4" t="s">
        <v>106</v>
      </c>
      <c r="E17" s="4" t="s">
        <v>107</v>
      </c>
      <c r="F17" s="4" t="s">
        <v>108</v>
      </c>
      <c r="G17" s="4" t="s">
        <v>109</v>
      </c>
      <c r="H17" s="4" t="s">
        <v>110</v>
      </c>
      <c r="I17" s="4" t="s">
        <v>111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4">
        <v>3.0</v>
      </c>
      <c r="B18" s="11">
        <v>46084.0</v>
      </c>
      <c r="C18" s="4" t="s">
        <v>112</v>
      </c>
      <c r="D18" s="4" t="s">
        <v>113</v>
      </c>
      <c r="E18" s="4" t="s">
        <v>114</v>
      </c>
      <c r="F18" s="4" t="s">
        <v>115</v>
      </c>
      <c r="G18" s="4" t="s">
        <v>116</v>
      </c>
      <c r="H18" s="4" t="s">
        <v>117</v>
      </c>
      <c r="I18" s="4" t="s">
        <v>119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4">
        <v>3.0</v>
      </c>
      <c r="B19" s="11">
        <v>46115.0</v>
      </c>
      <c r="C19" s="4" t="s">
        <v>120</v>
      </c>
      <c r="D19" s="4" t="s">
        <v>121</v>
      </c>
      <c r="E19" s="4" t="s">
        <v>74</v>
      </c>
      <c r="F19" s="4" t="s">
        <v>122</v>
      </c>
      <c r="G19" s="4" t="s">
        <v>123</v>
      </c>
      <c r="H19" s="4" t="s">
        <v>124</v>
      </c>
      <c r="I19" s="4" t="s">
        <v>125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4">
        <v>3.0</v>
      </c>
      <c r="B20" s="11">
        <v>46145.0</v>
      </c>
      <c r="C20" s="4" t="s">
        <v>126</v>
      </c>
      <c r="D20" s="4" t="s">
        <v>127</v>
      </c>
      <c r="E20" s="4" t="s">
        <v>128</v>
      </c>
      <c r="F20" s="4" t="s">
        <v>129</v>
      </c>
      <c r="G20" s="4" t="s">
        <v>130</v>
      </c>
      <c r="H20" s="4" t="s">
        <v>131</v>
      </c>
      <c r="I20" s="4" t="s">
        <v>132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4">
        <v>2.0</v>
      </c>
      <c r="B21" s="4">
        <v>4.0</v>
      </c>
      <c r="C21" s="4" t="s">
        <v>134</v>
      </c>
      <c r="D21" s="4" t="s">
        <v>135</v>
      </c>
      <c r="E21" s="4" t="s">
        <v>20</v>
      </c>
      <c r="F21" s="4" t="s">
        <v>136</v>
      </c>
      <c r="G21" s="4" t="s">
        <v>137</v>
      </c>
      <c r="H21" s="4" t="s">
        <v>138</v>
      </c>
      <c r="I21" s="4" t="s">
        <v>139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4">
        <v>3.0</v>
      </c>
      <c r="B22" s="11">
        <v>46026.0</v>
      </c>
      <c r="C22" s="4" t="s">
        <v>140</v>
      </c>
      <c r="D22" s="4" t="s">
        <v>141</v>
      </c>
      <c r="E22" s="4" t="s">
        <v>41</v>
      </c>
      <c r="F22" s="4" t="s">
        <v>142</v>
      </c>
      <c r="G22" s="4" t="s">
        <v>143</v>
      </c>
      <c r="H22" s="4" t="s">
        <v>144</v>
      </c>
      <c r="I22" s="4" t="s">
        <v>145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4">
        <v>3.0</v>
      </c>
      <c r="B23" s="11">
        <v>46057.0</v>
      </c>
      <c r="C23" s="4" t="s">
        <v>146</v>
      </c>
      <c r="D23" s="4" t="s">
        <v>147</v>
      </c>
      <c r="E23" s="4" t="s">
        <v>41</v>
      </c>
      <c r="F23" s="4" t="s">
        <v>148</v>
      </c>
      <c r="G23" s="4" t="s">
        <v>149</v>
      </c>
      <c r="H23" s="4" t="s">
        <v>150</v>
      </c>
      <c r="I23" s="4" t="s">
        <v>151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4">
        <v>3.0</v>
      </c>
      <c r="B24" s="11">
        <v>46085.0</v>
      </c>
      <c r="C24" s="4" t="s">
        <v>152</v>
      </c>
      <c r="D24" s="4" t="s">
        <v>153</v>
      </c>
      <c r="E24" s="4" t="s">
        <v>20</v>
      </c>
      <c r="F24" s="4" t="s">
        <v>154</v>
      </c>
      <c r="G24" s="4" t="s">
        <v>155</v>
      </c>
      <c r="H24" s="4" t="s">
        <v>156</v>
      </c>
      <c r="I24" s="4" t="s">
        <v>157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4">
        <v>3.0</v>
      </c>
      <c r="B25" s="11">
        <v>46116.0</v>
      </c>
      <c r="C25" s="4" t="s">
        <v>158</v>
      </c>
      <c r="D25" s="4" t="s">
        <v>159</v>
      </c>
      <c r="E25" s="4" t="s">
        <v>34</v>
      </c>
      <c r="F25" s="4" t="s">
        <v>160</v>
      </c>
      <c r="G25" s="4" t="s">
        <v>161</v>
      </c>
      <c r="H25" s="4" t="s">
        <v>162</v>
      </c>
      <c r="I25" s="4" t="s">
        <v>163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4">
        <v>3.0</v>
      </c>
      <c r="B26" s="11">
        <v>46146.0</v>
      </c>
      <c r="C26" s="4" t="s">
        <v>164</v>
      </c>
      <c r="D26" s="4" t="s">
        <v>165</v>
      </c>
      <c r="E26" s="4" t="s">
        <v>67</v>
      </c>
      <c r="F26" s="4" t="s">
        <v>166</v>
      </c>
      <c r="G26" s="4" t="s">
        <v>167</v>
      </c>
      <c r="H26" s="4" t="s">
        <v>168</v>
      </c>
      <c r="I26" s="4" t="s">
        <v>169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4">
        <v>3.0</v>
      </c>
      <c r="B27" s="11">
        <v>46177.0</v>
      </c>
      <c r="C27" s="4" t="s">
        <v>170</v>
      </c>
      <c r="D27" s="4" t="s">
        <v>171</v>
      </c>
      <c r="E27" s="4" t="s">
        <v>20</v>
      </c>
      <c r="F27" s="4" t="s">
        <v>172</v>
      </c>
      <c r="G27" s="4" t="s">
        <v>173</v>
      </c>
      <c r="H27" s="4" t="s">
        <v>174</v>
      </c>
      <c r="I27" s="4" t="s">
        <v>175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4">
        <v>3.0</v>
      </c>
      <c r="B28" s="11">
        <v>46207.0</v>
      </c>
      <c r="C28" s="4" t="s">
        <v>176</v>
      </c>
      <c r="D28" s="4" t="s">
        <v>177</v>
      </c>
      <c r="E28" s="4" t="s">
        <v>114</v>
      </c>
      <c r="F28" s="4" t="s">
        <v>178</v>
      </c>
      <c r="G28" s="4" t="s">
        <v>179</v>
      </c>
      <c r="H28" s="4" t="s">
        <v>180</v>
      </c>
      <c r="I28" s="4" t="s">
        <v>181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4">
        <v>3.0</v>
      </c>
      <c r="B29" s="11">
        <v>46238.0</v>
      </c>
      <c r="C29" s="4" t="s">
        <v>182</v>
      </c>
      <c r="D29" s="4" t="s">
        <v>183</v>
      </c>
      <c r="E29" s="4" t="s">
        <v>184</v>
      </c>
      <c r="F29" s="4" t="s">
        <v>185</v>
      </c>
      <c r="G29" s="4" t="s">
        <v>186</v>
      </c>
      <c r="H29" s="4" t="s">
        <v>187</v>
      </c>
      <c r="I29" s="4" t="s">
        <v>188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4">
        <v>3.0</v>
      </c>
      <c r="B30" s="11">
        <v>46269.0</v>
      </c>
      <c r="C30" s="4" t="s">
        <v>189</v>
      </c>
      <c r="D30" s="4" t="s">
        <v>190</v>
      </c>
      <c r="E30" s="4" t="s">
        <v>184</v>
      </c>
      <c r="F30" s="4" t="s">
        <v>191</v>
      </c>
      <c r="G30" s="4" t="s">
        <v>192</v>
      </c>
      <c r="H30" s="4" t="s">
        <v>193</v>
      </c>
      <c r="I30" s="4" t="s">
        <v>194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4">
        <v>2.0</v>
      </c>
      <c r="B31" s="4">
        <v>5.0</v>
      </c>
      <c r="C31" s="4" t="s">
        <v>195</v>
      </c>
      <c r="D31" s="4" t="s">
        <v>196</v>
      </c>
      <c r="E31" s="4" t="s">
        <v>74</v>
      </c>
      <c r="F31" s="4" t="s">
        <v>197</v>
      </c>
      <c r="G31" s="4" t="s">
        <v>198</v>
      </c>
      <c r="H31" s="4" t="s">
        <v>199</v>
      </c>
      <c r="I31" s="4" t="s">
        <v>200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4">
        <v>3.0</v>
      </c>
      <c r="B32" s="11">
        <v>46027.0</v>
      </c>
      <c r="C32" s="4" t="s">
        <v>201</v>
      </c>
      <c r="D32" s="4" t="s">
        <v>202</v>
      </c>
      <c r="E32" s="4" t="s">
        <v>203</v>
      </c>
      <c r="F32" s="4" t="s">
        <v>204</v>
      </c>
      <c r="G32" s="4" t="s">
        <v>205</v>
      </c>
      <c r="H32" s="4" t="s">
        <v>206</v>
      </c>
      <c r="I32" s="4" t="s">
        <v>207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4">
        <v>3.0</v>
      </c>
      <c r="B33" s="11">
        <v>46058.0</v>
      </c>
      <c r="C33" s="4" t="s">
        <v>208</v>
      </c>
      <c r="D33" s="4" t="s">
        <v>209</v>
      </c>
      <c r="E33" s="4" t="s">
        <v>74</v>
      </c>
      <c r="F33" s="4" t="s">
        <v>210</v>
      </c>
      <c r="G33" s="4" t="s">
        <v>211</v>
      </c>
      <c r="H33" s="4" t="s">
        <v>212</v>
      </c>
      <c r="I33" s="4" t="s">
        <v>213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4">
        <v>3.0</v>
      </c>
      <c r="B34" s="11">
        <v>46086.0</v>
      </c>
      <c r="C34" s="4" t="s">
        <v>214</v>
      </c>
      <c r="D34" s="4" t="s">
        <v>216</v>
      </c>
      <c r="E34" s="4" t="s">
        <v>74</v>
      </c>
      <c r="F34" s="4" t="s">
        <v>217</v>
      </c>
      <c r="G34" s="4" t="s">
        <v>218</v>
      </c>
      <c r="H34" s="4" t="s">
        <v>219</v>
      </c>
      <c r="I34" s="4" t="s">
        <v>220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4">
        <v>3.0</v>
      </c>
      <c r="B35" s="11">
        <v>46117.0</v>
      </c>
      <c r="C35" s="4" t="s">
        <v>222</v>
      </c>
      <c r="D35" s="4" t="s">
        <v>224</v>
      </c>
      <c r="E35" s="4" t="s">
        <v>225</v>
      </c>
      <c r="F35" s="4" t="s">
        <v>227</v>
      </c>
      <c r="G35" s="4" t="s">
        <v>228</v>
      </c>
      <c r="H35" s="4" t="s">
        <v>229</v>
      </c>
      <c r="I35" s="4" t="s">
        <v>230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4">
        <v>3.0</v>
      </c>
      <c r="B36" s="11">
        <v>46147.0</v>
      </c>
      <c r="C36" s="4" t="s">
        <v>231</v>
      </c>
      <c r="D36" s="4" t="s">
        <v>232</v>
      </c>
      <c r="E36" s="4" t="s">
        <v>41</v>
      </c>
      <c r="F36" s="4" t="s">
        <v>233</v>
      </c>
      <c r="G36" s="4" t="s">
        <v>234</v>
      </c>
      <c r="H36" s="4" t="s">
        <v>235</v>
      </c>
      <c r="I36" s="4" t="s">
        <v>236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4">
        <v>3.0</v>
      </c>
      <c r="B37" s="11">
        <v>46178.0</v>
      </c>
      <c r="C37" s="4" t="s">
        <v>237</v>
      </c>
      <c r="D37" s="4" t="s">
        <v>238</v>
      </c>
      <c r="E37" s="4" t="s">
        <v>20</v>
      </c>
      <c r="F37" s="4" t="s">
        <v>239</v>
      </c>
      <c r="G37" s="4" t="s">
        <v>240</v>
      </c>
      <c r="H37" s="4" t="s">
        <v>241</v>
      </c>
      <c r="I37" s="4" t="s">
        <v>242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4">
        <v>2.0</v>
      </c>
      <c r="B38" s="4">
        <v>6.0</v>
      </c>
      <c r="C38" s="4" t="s">
        <v>243</v>
      </c>
      <c r="D38" s="4" t="s">
        <v>244</v>
      </c>
      <c r="E38" s="4" t="s">
        <v>20</v>
      </c>
      <c r="F38" s="4" t="s">
        <v>245</v>
      </c>
      <c r="G38" s="4" t="s">
        <v>246</v>
      </c>
      <c r="H38" s="4" t="s">
        <v>247</v>
      </c>
      <c r="I38" s="4" t="s">
        <v>248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4">
        <v>3.0</v>
      </c>
      <c r="B39" s="11">
        <v>46025.0</v>
      </c>
      <c r="C39" s="4" t="s">
        <v>249</v>
      </c>
      <c r="D39" s="4" t="s">
        <v>250</v>
      </c>
      <c r="E39" s="4" t="s">
        <v>128</v>
      </c>
      <c r="F39" s="4" t="s">
        <v>252</v>
      </c>
      <c r="G39" s="4" t="s">
        <v>253</v>
      </c>
      <c r="H39" s="4" t="s">
        <v>254</v>
      </c>
      <c r="I39" s="4" t="s">
        <v>255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4">
        <v>3.0</v>
      </c>
      <c r="B40" s="11">
        <v>46056.0</v>
      </c>
      <c r="C40" s="4" t="s">
        <v>257</v>
      </c>
      <c r="D40" s="4" t="s">
        <v>258</v>
      </c>
      <c r="E40" s="4" t="s">
        <v>259</v>
      </c>
      <c r="F40" s="4" t="s">
        <v>260</v>
      </c>
      <c r="G40" s="4" t="s">
        <v>261</v>
      </c>
      <c r="H40" s="4" t="s">
        <v>262</v>
      </c>
      <c r="I40" s="4" t="s">
        <v>264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4">
        <v>3.0</v>
      </c>
      <c r="B41" s="11">
        <v>46084.0</v>
      </c>
      <c r="C41" s="4" t="s">
        <v>265</v>
      </c>
      <c r="D41" s="4" t="s">
        <v>266</v>
      </c>
      <c r="E41" s="4" t="s">
        <v>270</v>
      </c>
      <c r="F41" s="4" t="s">
        <v>272</v>
      </c>
      <c r="G41" s="4" t="s">
        <v>273</v>
      </c>
      <c r="H41" s="4" t="s">
        <v>274</v>
      </c>
      <c r="I41" s="4" t="s">
        <v>275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4">
        <v>3.0</v>
      </c>
      <c r="B42" s="11">
        <v>46115.0</v>
      </c>
      <c r="C42" s="4" t="s">
        <v>277</v>
      </c>
      <c r="D42" s="4" t="s">
        <v>279</v>
      </c>
      <c r="E42" s="4" t="s">
        <v>100</v>
      </c>
      <c r="F42" s="4" t="s">
        <v>281</v>
      </c>
      <c r="G42" s="4" t="s">
        <v>282</v>
      </c>
      <c r="H42" s="4" t="s">
        <v>283</v>
      </c>
      <c r="I42" s="4" t="s">
        <v>285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4">
        <v>3.0</v>
      </c>
      <c r="B43" s="11">
        <v>46145.0</v>
      </c>
      <c r="C43" s="4" t="s">
        <v>286</v>
      </c>
      <c r="D43" s="4" t="s">
        <v>287</v>
      </c>
      <c r="E43" s="4" t="s">
        <v>41</v>
      </c>
      <c r="F43" s="4" t="s">
        <v>289</v>
      </c>
      <c r="G43" s="4" t="s">
        <v>291</v>
      </c>
      <c r="H43" s="4" t="s">
        <v>292</v>
      </c>
      <c r="I43" s="4" t="s">
        <v>293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34.0"/>
    <col customWidth="1" min="3" max="3" width="6.88"/>
    <col customWidth="1" min="4" max="4" width="8.63"/>
    <col customWidth="1" min="5" max="5" width="8.13"/>
    <col customWidth="1" min="6" max="7" width="9.0"/>
    <col customWidth="1" min="8" max="8" width="12.88"/>
    <col customWidth="1" min="9" max="9" width="28.63"/>
    <col customWidth="1" min="10" max="10" width="9.0"/>
    <col customWidth="1" min="11" max="11" width="12.38"/>
    <col customWidth="1" min="12" max="12" width="13.63"/>
    <col customWidth="1" min="13" max="25" width="9.0"/>
  </cols>
  <sheetData>
    <row r="1" ht="24.7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75" customHeight="1">
      <c r="B2" s="3" t="s">
        <v>1</v>
      </c>
      <c r="C2" s="5"/>
      <c r="D2" s="5"/>
      <c r="E2" s="5"/>
      <c r="F2" s="5"/>
      <c r="G2" s="5"/>
      <c r="H2" s="5"/>
      <c r="I2" s="5"/>
      <c r="J2" s="5"/>
      <c r="K2" s="5"/>
      <c r="L2" s="7"/>
      <c r="M2" s="1"/>
    </row>
    <row r="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4.75" customHeight="1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>
      <c r="B5" s="1"/>
      <c r="C5" s="9" t="s">
        <v>17</v>
      </c>
      <c r="D5" s="10" t="s">
        <v>25</v>
      </c>
      <c r="E5" s="13"/>
      <c r="F5" s="13"/>
      <c r="G5" s="14"/>
      <c r="H5" s="1"/>
      <c r="I5" s="15" t="s">
        <v>118</v>
      </c>
      <c r="J5" s="13"/>
      <c r="K5" s="13"/>
      <c r="L5" s="14"/>
      <c r="M5" s="1"/>
    </row>
    <row r="6">
      <c r="B6" s="16" t="s">
        <v>133</v>
      </c>
      <c r="C6" s="16">
        <v>21.0</v>
      </c>
      <c r="D6" s="25" t="str">
        <f>J7</f>
        <v>PO</v>
      </c>
      <c r="E6" s="25" t="str">
        <f>J8</f>
        <v>SM</v>
      </c>
      <c r="F6" s="25" t="str">
        <f>J9</f>
        <v>D1</v>
      </c>
      <c r="G6" s="25" t="str">
        <f>J10</f>
        <v>D2</v>
      </c>
      <c r="H6" s="26"/>
      <c r="I6" s="27" t="s">
        <v>215</v>
      </c>
      <c r="J6" s="27" t="s">
        <v>221</v>
      </c>
      <c r="K6" s="27" t="s">
        <v>223</v>
      </c>
      <c r="L6" s="27" t="s">
        <v>226</v>
      </c>
      <c r="M6" s="1"/>
    </row>
    <row r="7">
      <c r="B7" s="28" t="s">
        <v>26</v>
      </c>
      <c r="C7" s="29">
        <v>5.0</v>
      </c>
      <c r="D7" s="29">
        <v>40.0</v>
      </c>
      <c r="E7" s="29">
        <v>40.0</v>
      </c>
      <c r="F7" s="29">
        <v>0.0</v>
      </c>
      <c r="G7" s="29">
        <v>0.0</v>
      </c>
      <c r="H7" s="26"/>
      <c r="I7" s="30" t="s">
        <v>251</v>
      </c>
      <c r="J7" s="30" t="s">
        <v>256</v>
      </c>
      <c r="K7" s="31" t="s">
        <v>263</v>
      </c>
      <c r="L7" s="32">
        <v>0.0</v>
      </c>
      <c r="M7" s="1"/>
    </row>
    <row r="8">
      <c r="B8" s="28" t="s">
        <v>267</v>
      </c>
      <c r="C8" s="29">
        <v>4.0</v>
      </c>
      <c r="D8" s="29">
        <v>0.0</v>
      </c>
      <c r="E8" s="29">
        <v>32.0</v>
      </c>
      <c r="F8" s="29">
        <v>0.0</v>
      </c>
      <c r="G8" s="29">
        <v>0.0</v>
      </c>
      <c r="H8" s="26"/>
      <c r="I8" s="30" t="s">
        <v>268</v>
      </c>
      <c r="J8" s="30" t="s">
        <v>269</v>
      </c>
      <c r="K8" s="30" t="s">
        <v>271</v>
      </c>
      <c r="L8" s="32">
        <v>0.0</v>
      </c>
      <c r="M8" s="1"/>
    </row>
    <row r="9">
      <c r="B9" s="28" t="s">
        <v>39</v>
      </c>
      <c r="C9" s="29">
        <v>5.0</v>
      </c>
      <c r="D9" s="29">
        <v>0.0</v>
      </c>
      <c r="E9" s="29">
        <v>40.0</v>
      </c>
      <c r="F9" s="29">
        <v>0.0</v>
      </c>
      <c r="G9" s="29">
        <v>40.0</v>
      </c>
      <c r="H9" s="26"/>
      <c r="I9" s="30" t="s">
        <v>276</v>
      </c>
      <c r="J9" s="30" t="s">
        <v>278</v>
      </c>
      <c r="K9" s="30" t="s">
        <v>280</v>
      </c>
      <c r="L9" s="32">
        <v>0.0</v>
      </c>
      <c r="M9" s="1"/>
    </row>
    <row r="10">
      <c r="B10" s="28" t="s">
        <v>284</v>
      </c>
      <c r="C10" s="33">
        <v>2.0</v>
      </c>
      <c r="D10" s="29">
        <v>20.0</v>
      </c>
      <c r="E10" s="29">
        <v>0.0</v>
      </c>
      <c r="F10" s="29">
        <v>0.0</v>
      </c>
      <c r="G10" s="29">
        <v>0.0</v>
      </c>
      <c r="H10" s="26"/>
      <c r="I10" s="30" t="s">
        <v>276</v>
      </c>
      <c r="J10" s="30" t="s">
        <v>288</v>
      </c>
      <c r="K10" s="30" t="s">
        <v>290</v>
      </c>
      <c r="L10" s="32">
        <v>0.0</v>
      </c>
      <c r="M10" s="1"/>
    </row>
    <row r="11">
      <c r="B11" s="28" t="s">
        <v>294</v>
      </c>
      <c r="C11" s="29">
        <v>4.0</v>
      </c>
      <c r="D11" s="29">
        <v>0.0</v>
      </c>
      <c r="E11" s="29">
        <v>0.0</v>
      </c>
      <c r="F11" s="29">
        <v>32.0</v>
      </c>
      <c r="G11" s="29">
        <v>0.0</v>
      </c>
      <c r="H11" s="26"/>
      <c r="I11" s="1"/>
      <c r="J11" s="1"/>
      <c r="K11" s="1"/>
      <c r="L11" s="34"/>
      <c r="M11" s="1"/>
    </row>
    <row r="12">
      <c r="B12" s="28" t="s">
        <v>53</v>
      </c>
      <c r="C12" s="29">
        <v>3.0</v>
      </c>
      <c r="D12" s="29">
        <v>30.0</v>
      </c>
      <c r="E12" s="29">
        <v>0.0</v>
      </c>
      <c r="F12" s="29">
        <v>0.0</v>
      </c>
      <c r="G12" s="29">
        <v>0.0</v>
      </c>
      <c r="H12" s="26"/>
      <c r="I12" s="35" t="s">
        <v>295</v>
      </c>
      <c r="J12" s="36"/>
      <c r="K12" s="1"/>
      <c r="L12" s="34"/>
      <c r="M12" s="1"/>
    </row>
    <row r="13">
      <c r="B13" s="37" t="s">
        <v>59</v>
      </c>
      <c r="C13" s="37">
        <v>4.0</v>
      </c>
      <c r="D13" s="38" t="str">
        <f>J7</f>
        <v>PO</v>
      </c>
      <c r="E13" s="38" t="str">
        <f>J8</f>
        <v>SM</v>
      </c>
      <c r="F13" s="38" t="str">
        <f>J9</f>
        <v>D1</v>
      </c>
      <c r="G13" s="38" t="str">
        <f>J10</f>
        <v>D2</v>
      </c>
      <c r="H13" s="26"/>
      <c r="I13" s="31" t="s">
        <v>296</v>
      </c>
      <c r="J13" s="39">
        <f>J34</f>
        <v>0</v>
      </c>
      <c r="K13" s="1"/>
      <c r="L13" s="1"/>
      <c r="M13" s="1"/>
    </row>
    <row r="14">
      <c r="B14" s="28" t="s">
        <v>65</v>
      </c>
      <c r="C14" s="33">
        <v>2.0</v>
      </c>
      <c r="D14" s="29">
        <v>20.0</v>
      </c>
      <c r="E14" s="29">
        <v>20.0</v>
      </c>
      <c r="F14" s="29">
        <v>0.0</v>
      </c>
      <c r="G14" s="29">
        <v>0.0</v>
      </c>
      <c r="H14" s="26"/>
      <c r="I14" s="31" t="s">
        <v>297</v>
      </c>
      <c r="J14" s="39">
        <f>K34</f>
        <v>0</v>
      </c>
      <c r="K14" s="1"/>
      <c r="L14" s="1"/>
      <c r="M14" s="1"/>
    </row>
    <row r="15">
      <c r="B15" s="28" t="s">
        <v>72</v>
      </c>
      <c r="C15" s="29">
        <v>2.0</v>
      </c>
      <c r="D15" s="29">
        <v>0.0</v>
      </c>
      <c r="E15" s="29">
        <v>0.0</v>
      </c>
      <c r="F15" s="29">
        <v>0.0</v>
      </c>
      <c r="G15" s="29">
        <v>20.0</v>
      </c>
      <c r="H15" s="26"/>
      <c r="I15" s="31" t="s">
        <v>298</v>
      </c>
      <c r="J15" s="39">
        <f>L34</f>
        <v>0</v>
      </c>
      <c r="K15" s="1"/>
      <c r="L15" s="1"/>
      <c r="M15" s="1"/>
    </row>
    <row r="16">
      <c r="B16" s="28" t="s">
        <v>299</v>
      </c>
      <c r="C16" s="29">
        <v>3.0</v>
      </c>
      <c r="D16" s="29">
        <v>24.0</v>
      </c>
      <c r="E16" s="29">
        <v>0.0</v>
      </c>
      <c r="F16" s="29">
        <v>30.0</v>
      </c>
      <c r="G16" s="29">
        <v>0.0</v>
      </c>
      <c r="H16" s="26"/>
      <c r="I16" s="31" t="s">
        <v>298</v>
      </c>
      <c r="J16" s="39">
        <f>M34</f>
        <v>0</v>
      </c>
      <c r="K16" s="1"/>
      <c r="L16" s="1"/>
      <c r="M16" s="1"/>
    </row>
    <row r="17">
      <c r="B17" s="28" t="s">
        <v>300</v>
      </c>
      <c r="C17" s="33">
        <v>1.0</v>
      </c>
      <c r="D17" s="29">
        <v>0.0</v>
      </c>
      <c r="E17" s="29">
        <v>0.0</v>
      </c>
      <c r="F17" s="29">
        <v>0.0</v>
      </c>
      <c r="G17" s="29">
        <v>10.0</v>
      </c>
      <c r="H17" s="26"/>
      <c r="I17" s="31" t="s">
        <v>298</v>
      </c>
      <c r="J17" s="39">
        <f>N34</f>
        <v>0</v>
      </c>
      <c r="K17" s="1"/>
      <c r="L17" s="1"/>
      <c r="M17" s="1"/>
    </row>
    <row r="18" ht="14.25" customHeight="1">
      <c r="B18" s="40" t="s">
        <v>91</v>
      </c>
      <c r="C18" s="40">
        <v>5.0</v>
      </c>
      <c r="D18" s="41" t="str">
        <f>J7</f>
        <v>PO</v>
      </c>
      <c r="E18" s="41" t="str">
        <f>J8</f>
        <v>SM</v>
      </c>
      <c r="F18" s="41" t="str">
        <f>J9</f>
        <v>D1</v>
      </c>
      <c r="G18" s="41" t="str">
        <f>J10</f>
        <v>D2</v>
      </c>
      <c r="H18" s="26"/>
      <c r="I18" s="31" t="s">
        <v>298</v>
      </c>
      <c r="J18" s="39">
        <f>O34</f>
        <v>0</v>
      </c>
      <c r="K18" s="1"/>
      <c r="L18" s="1"/>
      <c r="M18" s="1"/>
    </row>
    <row r="19" ht="14.25" customHeight="1">
      <c r="B19" s="28" t="s">
        <v>98</v>
      </c>
      <c r="C19" s="29">
        <v>2.0</v>
      </c>
      <c r="D19" s="29">
        <v>0.0</v>
      </c>
      <c r="E19" s="29">
        <v>20.0</v>
      </c>
      <c r="F19" s="29">
        <v>20.0</v>
      </c>
      <c r="G19" s="29">
        <v>0.0</v>
      </c>
      <c r="H19" s="26"/>
      <c r="I19" s="42" t="s">
        <v>301</v>
      </c>
      <c r="J19" s="43">
        <f>SUM(J13:J18)</f>
        <v>0</v>
      </c>
      <c r="K19" s="1"/>
      <c r="L19" s="1"/>
      <c r="M19" s="1"/>
    </row>
    <row r="20" ht="14.25" customHeight="1">
      <c r="B20" s="28" t="s">
        <v>302</v>
      </c>
      <c r="C20" s="29">
        <v>2.0</v>
      </c>
      <c r="D20" s="29">
        <v>0.0</v>
      </c>
      <c r="E20" s="29">
        <v>0.0</v>
      </c>
      <c r="F20" s="29">
        <v>20.0</v>
      </c>
      <c r="G20" s="29">
        <v>0.0</v>
      </c>
      <c r="H20" s="26"/>
      <c r="L20" s="1"/>
      <c r="M20" s="1"/>
    </row>
    <row r="21" ht="14.25" customHeight="1">
      <c r="B21" s="28" t="s">
        <v>112</v>
      </c>
      <c r="C21" s="29">
        <v>2.0</v>
      </c>
      <c r="D21" s="29">
        <v>0.0</v>
      </c>
      <c r="E21" s="29">
        <v>0.0</v>
      </c>
      <c r="F21" s="29">
        <v>20.0</v>
      </c>
      <c r="G21" s="29">
        <v>0.0</v>
      </c>
      <c r="H21" s="26"/>
      <c r="I21" s="1"/>
      <c r="J21" s="1"/>
      <c r="K21" s="1"/>
      <c r="L21" s="1"/>
      <c r="M21" s="1"/>
    </row>
    <row r="22" ht="14.25" customHeight="1">
      <c r="B22" s="28" t="s">
        <v>120</v>
      </c>
      <c r="C22" s="33">
        <v>2.0</v>
      </c>
      <c r="D22" s="29">
        <v>20.0</v>
      </c>
      <c r="E22" s="29">
        <v>20.0</v>
      </c>
      <c r="F22" s="29">
        <v>0.0</v>
      </c>
      <c r="G22" s="29">
        <v>20.0</v>
      </c>
      <c r="H22" s="26"/>
      <c r="I22" s="35" t="s">
        <v>303</v>
      </c>
      <c r="J22" s="36"/>
      <c r="K22" s="1"/>
      <c r="L22" s="1"/>
      <c r="M22" s="1"/>
    </row>
    <row r="23" ht="14.25" customHeight="1">
      <c r="B23" s="28" t="s">
        <v>126</v>
      </c>
      <c r="C23" s="29">
        <v>3.0</v>
      </c>
      <c r="D23" s="29">
        <v>0.0</v>
      </c>
      <c r="E23" s="29">
        <v>0.0</v>
      </c>
      <c r="F23" s="29">
        <v>30.0</v>
      </c>
      <c r="G23" s="29">
        <v>0.0</v>
      </c>
      <c r="H23" s="26"/>
      <c r="I23" s="30" t="s">
        <v>251</v>
      </c>
      <c r="J23" s="44">
        <f>D47*L7</f>
        <v>0</v>
      </c>
      <c r="K23" s="45"/>
      <c r="L23" s="46"/>
      <c r="M23" s="46"/>
    </row>
    <row r="24" ht="14.25" customHeight="1">
      <c r="B24" s="47" t="s">
        <v>134</v>
      </c>
      <c r="C24" s="47">
        <v>33.0</v>
      </c>
      <c r="D24" s="48" t="str">
        <f>J7</f>
        <v>PO</v>
      </c>
      <c r="E24" s="48" t="str">
        <f>J8</f>
        <v>SM</v>
      </c>
      <c r="F24" s="48" t="str">
        <f>J9</f>
        <v>D1</v>
      </c>
      <c r="G24" s="48" t="str">
        <f>J10</f>
        <v>D2</v>
      </c>
      <c r="H24" s="26"/>
      <c r="I24" s="30" t="s">
        <v>268</v>
      </c>
      <c r="J24" s="49">
        <f>E46*L8</f>
        <v>0</v>
      </c>
      <c r="K24" s="50"/>
      <c r="L24" s="51"/>
      <c r="M24" s="51"/>
    </row>
    <row r="25" ht="14.25" customHeight="1">
      <c r="B25" s="52" t="s">
        <v>140</v>
      </c>
      <c r="C25" s="33">
        <v>2.0</v>
      </c>
      <c r="D25" s="29">
        <v>0.0</v>
      </c>
      <c r="E25" s="29">
        <v>20.0</v>
      </c>
      <c r="F25" s="29">
        <v>0.0</v>
      </c>
      <c r="G25" s="29">
        <v>20.0</v>
      </c>
      <c r="H25" s="26"/>
      <c r="I25" s="30" t="s">
        <v>276</v>
      </c>
      <c r="J25" s="53">
        <f>F47*L9</f>
        <v>0</v>
      </c>
      <c r="K25" s="50"/>
      <c r="L25" s="51"/>
      <c r="M25" s="51"/>
    </row>
    <row r="26" ht="14.25" customHeight="1">
      <c r="B26" s="52" t="s">
        <v>304</v>
      </c>
      <c r="C26" s="33">
        <v>2.0</v>
      </c>
      <c r="D26" s="29">
        <v>12.0</v>
      </c>
      <c r="E26" s="29">
        <v>12.0</v>
      </c>
      <c r="F26" s="29">
        <v>12.0</v>
      </c>
      <c r="G26" s="29">
        <v>12.0</v>
      </c>
      <c r="H26" s="26"/>
      <c r="I26" s="30" t="s">
        <v>276</v>
      </c>
      <c r="J26" s="53">
        <f>G47*L10</f>
        <v>0</v>
      </c>
      <c r="K26" s="50"/>
      <c r="L26" s="51"/>
      <c r="M26" s="51"/>
    </row>
    <row r="27" ht="14.25" customHeight="1">
      <c r="B27" s="52" t="s">
        <v>152</v>
      </c>
      <c r="C27" s="29">
        <v>1.0</v>
      </c>
      <c r="D27" s="29">
        <v>10.0</v>
      </c>
      <c r="E27" s="29">
        <v>0.0</v>
      </c>
      <c r="F27" s="29">
        <v>0.0</v>
      </c>
      <c r="G27" s="29">
        <v>0.0</v>
      </c>
      <c r="H27" s="26"/>
      <c r="I27" s="1"/>
      <c r="J27" s="1"/>
      <c r="K27" s="1"/>
      <c r="L27" s="1"/>
      <c r="M27" s="1"/>
    </row>
    <row r="28" ht="14.25" customHeight="1">
      <c r="B28" s="52" t="s">
        <v>158</v>
      </c>
      <c r="C28" s="29">
        <v>1.0</v>
      </c>
      <c r="D28" s="29">
        <v>10.0</v>
      </c>
      <c r="E28" s="29">
        <v>0.0</v>
      </c>
      <c r="F28" s="29">
        <v>0.0</v>
      </c>
      <c r="G28" s="29">
        <v>10.0</v>
      </c>
      <c r="H28" s="26"/>
      <c r="I28" s="1"/>
      <c r="J28" s="1"/>
      <c r="K28" s="1"/>
      <c r="L28" s="1"/>
      <c r="M28" s="1"/>
    </row>
    <row r="29" ht="14.25" customHeight="1">
      <c r="B29" s="52" t="s">
        <v>164</v>
      </c>
      <c r="C29" s="29">
        <v>2.0</v>
      </c>
      <c r="D29" s="29">
        <v>14.0</v>
      </c>
      <c r="E29" s="29">
        <v>0.0</v>
      </c>
      <c r="F29" s="29">
        <v>0.0</v>
      </c>
      <c r="G29" s="29">
        <v>0.0</v>
      </c>
      <c r="H29" s="26"/>
      <c r="I29" s="54"/>
      <c r="J29" s="54" t="s">
        <v>305</v>
      </c>
      <c r="K29" s="54" t="s">
        <v>306</v>
      </c>
      <c r="L29" s="54" t="s">
        <v>307</v>
      </c>
      <c r="M29" s="54" t="s">
        <v>308</v>
      </c>
      <c r="N29" s="55" t="s">
        <v>309</v>
      </c>
      <c r="O29" s="55" t="s">
        <v>310</v>
      </c>
    </row>
    <row r="30" ht="14.25" customHeight="1">
      <c r="B30" s="29" t="s">
        <v>170</v>
      </c>
      <c r="C30" s="29">
        <v>7.0</v>
      </c>
      <c r="D30" s="29">
        <v>56.0</v>
      </c>
      <c r="E30" s="29">
        <v>56.0</v>
      </c>
      <c r="F30" s="29">
        <v>56.0</v>
      </c>
      <c r="G30" s="29">
        <v>56.0</v>
      </c>
      <c r="H30" s="26"/>
      <c r="I30" s="30" t="s">
        <v>251</v>
      </c>
      <c r="J30" s="56">
        <f>SUM(D7:D12)*L7</f>
        <v>0</v>
      </c>
      <c r="K30" s="56">
        <f>SUM(D14:D17)*L7</f>
        <v>0</v>
      </c>
      <c r="L30" s="56">
        <f>SUM(D19:D23)*L7</f>
        <v>0</v>
      </c>
      <c r="M30" s="56">
        <f>SUM(D25:D33)*L7</f>
        <v>0</v>
      </c>
      <c r="N30" s="56">
        <f>SUM(D35:D40)*L7</f>
        <v>0</v>
      </c>
      <c r="O30" s="56">
        <f>SUM(D42:D46)*L7</f>
        <v>0</v>
      </c>
    </row>
    <row r="31" ht="14.25" customHeight="1">
      <c r="B31" s="29" t="s">
        <v>311</v>
      </c>
      <c r="C31" s="29">
        <v>7.0</v>
      </c>
      <c r="D31" s="29">
        <v>56.0</v>
      </c>
      <c r="E31" s="29">
        <v>56.0</v>
      </c>
      <c r="F31" s="29">
        <v>60.0</v>
      </c>
      <c r="G31" s="29">
        <v>56.0</v>
      </c>
      <c r="H31" s="26"/>
      <c r="I31" s="30" t="s">
        <v>268</v>
      </c>
      <c r="J31" s="56">
        <f>SUM(E7:E12)*L8</f>
        <v>0</v>
      </c>
      <c r="K31" s="56">
        <f>SUM(E14:E17)*L8</f>
        <v>0</v>
      </c>
      <c r="L31" s="56">
        <f>SUM(E19:E23)*L8</f>
        <v>0</v>
      </c>
      <c r="M31" s="56">
        <f>SUM(E25:E33)*L8</f>
        <v>0</v>
      </c>
      <c r="N31" s="56">
        <f>SUM(E35:E40)*L8</f>
        <v>0</v>
      </c>
      <c r="O31" s="56">
        <f>SUM(E42:E46)*L8</f>
        <v>0</v>
      </c>
    </row>
    <row r="32" ht="14.25" customHeight="1">
      <c r="B32" s="29" t="s">
        <v>312</v>
      </c>
      <c r="C32" s="29">
        <v>7.0</v>
      </c>
      <c r="D32" s="29">
        <v>65.0</v>
      </c>
      <c r="E32" s="29">
        <v>65.0</v>
      </c>
      <c r="F32" s="29">
        <v>70.0</v>
      </c>
      <c r="G32" s="29">
        <v>70.0</v>
      </c>
      <c r="H32" s="26"/>
      <c r="I32" s="30" t="s">
        <v>276</v>
      </c>
      <c r="J32" s="56">
        <f>SUM(F7:F12)*L9</f>
        <v>0</v>
      </c>
      <c r="K32" s="56">
        <f>SUM(F7:F12)*L9</f>
        <v>0</v>
      </c>
      <c r="L32" s="56">
        <f>SUM(F14:F17)*L9</f>
        <v>0</v>
      </c>
      <c r="M32" s="56">
        <f>SUM(F25:F33)*L9</f>
        <v>0</v>
      </c>
      <c r="N32" s="56">
        <f>SUM(F35:F40)*L9</f>
        <v>0</v>
      </c>
      <c r="O32" s="56">
        <f>SUM(F42:F46)*L9</f>
        <v>0</v>
      </c>
    </row>
    <row r="33" ht="14.25" customHeight="1">
      <c r="B33" s="29" t="s">
        <v>313</v>
      </c>
      <c r="C33" s="29">
        <v>7.0</v>
      </c>
      <c r="D33" s="29">
        <v>65.0</v>
      </c>
      <c r="E33" s="29">
        <v>65.0</v>
      </c>
      <c r="F33" s="29">
        <v>70.0</v>
      </c>
      <c r="G33" s="29">
        <v>70.0</v>
      </c>
      <c r="H33" s="26"/>
      <c r="I33" s="57" t="s">
        <v>276</v>
      </c>
      <c r="J33" s="56">
        <f>SUM(G7:G12)*L10</f>
        <v>0</v>
      </c>
      <c r="K33" s="58">
        <f>SUM(G7:G12)*L10</f>
        <v>0</v>
      </c>
      <c r="L33" s="58">
        <f>SUM(G14:G17)*L10</f>
        <v>0</v>
      </c>
      <c r="M33" s="58">
        <f>SUM(G25:G33)*L10</f>
        <v>0</v>
      </c>
      <c r="N33" s="58">
        <f>SUM(G35:G40)*L10</f>
        <v>0</v>
      </c>
      <c r="O33" s="58">
        <f>SUM(G42:G46)*L10</f>
        <v>0</v>
      </c>
    </row>
    <row r="34" ht="14.25" customHeight="1">
      <c r="B34" s="59" t="s">
        <v>195</v>
      </c>
      <c r="C34" s="59">
        <v>18.0</v>
      </c>
      <c r="D34" s="60" t="str">
        <f>J7</f>
        <v>PO</v>
      </c>
      <c r="E34" s="60" t="str">
        <f>J8</f>
        <v>SM</v>
      </c>
      <c r="F34" s="60" t="str">
        <f>J9</f>
        <v>D1</v>
      </c>
      <c r="G34" s="60" t="str">
        <f>J10</f>
        <v>D2</v>
      </c>
      <c r="H34" s="26"/>
      <c r="I34" s="61" t="s">
        <v>314</v>
      </c>
      <c r="J34" s="43">
        <f t="shared" ref="J34:O34" si="1">SUM(J30:J33)</f>
        <v>0</v>
      </c>
      <c r="K34" s="43">
        <f t="shared" si="1"/>
        <v>0</v>
      </c>
      <c r="L34" s="43">
        <f t="shared" si="1"/>
        <v>0</v>
      </c>
      <c r="M34" s="43">
        <f t="shared" si="1"/>
        <v>0</v>
      </c>
      <c r="N34" s="43">
        <f t="shared" si="1"/>
        <v>0</v>
      </c>
      <c r="O34" s="43">
        <f t="shared" si="1"/>
        <v>0</v>
      </c>
    </row>
    <row r="35" ht="14.25" customHeight="1">
      <c r="B35" s="28" t="s">
        <v>201</v>
      </c>
      <c r="C35" s="29">
        <v>4.0</v>
      </c>
      <c r="D35" s="29">
        <v>0.0</v>
      </c>
      <c r="E35" s="29">
        <v>0.0</v>
      </c>
      <c r="F35" s="29">
        <v>0.0</v>
      </c>
      <c r="G35" s="29">
        <v>25.0</v>
      </c>
      <c r="H35" s="26"/>
      <c r="I35" s="1"/>
      <c r="J35" s="51"/>
      <c r="K35" s="51"/>
      <c r="L35" s="51"/>
      <c r="M35" s="51"/>
    </row>
    <row r="36" ht="14.25" customHeight="1">
      <c r="B36" s="28" t="s">
        <v>208</v>
      </c>
      <c r="C36" s="29">
        <v>5.0</v>
      </c>
      <c r="D36" s="29">
        <v>0.0</v>
      </c>
      <c r="E36" s="29">
        <v>0.0</v>
      </c>
      <c r="F36" s="29">
        <v>0.0</v>
      </c>
      <c r="G36" s="29">
        <v>30.0</v>
      </c>
      <c r="H36" s="26"/>
      <c r="I36" s="1"/>
      <c r="J36" s="1"/>
      <c r="K36" s="1"/>
      <c r="L36" s="1"/>
      <c r="M36" s="1"/>
    </row>
    <row r="37" ht="14.25" customHeight="1">
      <c r="B37" s="28" t="s">
        <v>214</v>
      </c>
      <c r="C37" s="29">
        <v>3.0</v>
      </c>
      <c r="D37" s="29">
        <v>0.0</v>
      </c>
      <c r="E37" s="29">
        <v>0.0</v>
      </c>
      <c r="F37" s="29">
        <v>0.0</v>
      </c>
      <c r="G37" s="29">
        <v>20.0</v>
      </c>
      <c r="H37" s="26"/>
      <c r="I37" s="1"/>
      <c r="J37" s="1"/>
      <c r="K37" s="1"/>
      <c r="L37" s="1"/>
      <c r="M37" s="1"/>
    </row>
    <row r="38" ht="14.25" customHeight="1">
      <c r="B38" s="28" t="s">
        <v>222</v>
      </c>
      <c r="C38" s="29">
        <v>5.0</v>
      </c>
      <c r="D38" s="29">
        <v>0.0</v>
      </c>
      <c r="E38" s="29">
        <v>0.0</v>
      </c>
      <c r="F38" s="29">
        <v>30.0</v>
      </c>
      <c r="G38" s="29">
        <v>30.0</v>
      </c>
      <c r="H38" s="26"/>
      <c r="I38" s="1"/>
      <c r="J38" s="1"/>
      <c r="K38" s="1"/>
      <c r="L38" s="1"/>
      <c r="M38" s="1"/>
    </row>
    <row r="39" ht="14.25" customHeight="1">
      <c r="B39" s="28" t="s">
        <v>231</v>
      </c>
      <c r="C39" s="29">
        <v>2.0</v>
      </c>
      <c r="D39" s="29">
        <v>16.0</v>
      </c>
      <c r="E39" s="29">
        <v>16.0</v>
      </c>
      <c r="F39" s="29">
        <v>0.0</v>
      </c>
      <c r="G39" s="29">
        <v>0.0</v>
      </c>
      <c r="H39" s="26"/>
      <c r="I39" s="1"/>
      <c r="J39" s="1"/>
      <c r="K39" s="1"/>
      <c r="L39" s="1"/>
      <c r="M39" s="1"/>
    </row>
    <row r="40" ht="14.25" customHeight="1">
      <c r="B40" s="28" t="s">
        <v>237</v>
      </c>
      <c r="C40" s="29">
        <v>5.0</v>
      </c>
      <c r="D40" s="29">
        <v>0.0</v>
      </c>
      <c r="E40" s="29">
        <v>30.0</v>
      </c>
      <c r="F40" s="29">
        <v>0.0</v>
      </c>
      <c r="G40" s="29">
        <v>0.0</v>
      </c>
      <c r="H40" s="26"/>
      <c r="I40" s="1"/>
      <c r="J40" s="1"/>
      <c r="K40" s="1"/>
      <c r="L40" s="1"/>
      <c r="M40" s="1"/>
    </row>
    <row r="41" ht="14.25" customHeight="1">
      <c r="B41" s="62" t="s">
        <v>243</v>
      </c>
      <c r="C41" s="62">
        <v>15.0</v>
      </c>
      <c r="D41" s="63" t="str">
        <f>J7</f>
        <v>PO</v>
      </c>
      <c r="E41" s="63" t="str">
        <f>J8</f>
        <v>SM</v>
      </c>
      <c r="F41" s="63" t="str">
        <f>J9</f>
        <v>D1</v>
      </c>
      <c r="G41" s="63" t="str">
        <f>J10</f>
        <v>D2</v>
      </c>
      <c r="H41" s="26"/>
      <c r="I41" s="1"/>
      <c r="J41" s="51"/>
      <c r="K41" s="51"/>
      <c r="L41" s="51"/>
      <c r="M41" s="51"/>
    </row>
    <row r="42" ht="14.25" customHeight="1">
      <c r="B42" s="28" t="s">
        <v>249</v>
      </c>
      <c r="C42" s="29">
        <v>4.0</v>
      </c>
      <c r="D42" s="29">
        <v>0.0</v>
      </c>
      <c r="E42" s="29">
        <v>0.0</v>
      </c>
      <c r="F42" s="29">
        <v>40.0</v>
      </c>
      <c r="G42" s="29">
        <v>0.0</v>
      </c>
      <c r="H42" s="26"/>
      <c r="I42" s="1"/>
      <c r="J42" s="1"/>
      <c r="K42" s="1"/>
      <c r="L42" s="1"/>
      <c r="M42" s="1"/>
    </row>
    <row r="43" ht="14.25" customHeight="1">
      <c r="B43" s="28" t="s">
        <v>257</v>
      </c>
      <c r="C43" s="29">
        <v>4.0</v>
      </c>
      <c r="D43" s="29">
        <v>32.0</v>
      </c>
      <c r="E43" s="29">
        <v>0.0</v>
      </c>
      <c r="F43" s="29">
        <v>0.0</v>
      </c>
      <c r="G43" s="29">
        <v>32.0</v>
      </c>
      <c r="H43" s="26"/>
      <c r="I43" s="1"/>
      <c r="J43" s="1"/>
      <c r="K43" s="1"/>
      <c r="L43" s="1"/>
      <c r="M43" s="1"/>
    </row>
    <row r="44" ht="14.25" customHeight="1">
      <c r="B44" s="28" t="s">
        <v>265</v>
      </c>
      <c r="C44" s="29">
        <v>3.0</v>
      </c>
      <c r="D44" s="29">
        <v>30.0</v>
      </c>
      <c r="E44" s="29">
        <v>0.0</v>
      </c>
      <c r="F44" s="29">
        <v>0.0</v>
      </c>
      <c r="G44" s="29">
        <v>30.0</v>
      </c>
      <c r="H44" s="26"/>
      <c r="I44" s="1"/>
      <c r="J44" s="1"/>
      <c r="K44" s="1"/>
      <c r="L44" s="1"/>
      <c r="M44" s="1"/>
    </row>
    <row r="45" ht="14.25" customHeight="1">
      <c r="B45" s="28" t="s">
        <v>277</v>
      </c>
      <c r="C45" s="29">
        <v>4.0</v>
      </c>
      <c r="D45" s="29">
        <v>0.0</v>
      </c>
      <c r="E45" s="29">
        <v>40.0</v>
      </c>
      <c r="F45" s="29">
        <v>40.0</v>
      </c>
      <c r="G45" s="29">
        <v>0.0</v>
      </c>
      <c r="H45" s="26"/>
      <c r="I45" s="1"/>
      <c r="J45" s="1"/>
      <c r="K45" s="1"/>
      <c r="L45" s="1"/>
      <c r="M45" s="1"/>
    </row>
    <row r="46" ht="14.25" customHeight="1">
      <c r="B46" s="28" t="s">
        <v>286</v>
      </c>
      <c r="C46" s="29">
        <v>1.0</v>
      </c>
      <c r="D46" s="29">
        <v>8.0</v>
      </c>
      <c r="E46" s="29">
        <v>0.0</v>
      </c>
      <c r="F46" s="29">
        <v>0.0</v>
      </c>
      <c r="G46" s="29">
        <v>0.0</v>
      </c>
      <c r="H46" s="26"/>
      <c r="I46" s="1"/>
      <c r="J46" s="1"/>
      <c r="K46" s="1"/>
      <c r="L46" s="1"/>
      <c r="M46" s="1"/>
    </row>
    <row r="47" ht="14.25" customHeight="1">
      <c r="B47" s="33" t="s">
        <v>315</v>
      </c>
      <c r="C47" s="33">
        <f>C6+C13+C18+C24+C34+C41</f>
        <v>96</v>
      </c>
      <c r="D47" s="33">
        <f t="shared" ref="D47:G47" si="2">SUM(D7:D46)</f>
        <v>528</v>
      </c>
      <c r="E47" s="33">
        <f t="shared" si="2"/>
        <v>532</v>
      </c>
      <c r="F47" s="33">
        <f t="shared" si="2"/>
        <v>530</v>
      </c>
      <c r="G47" s="33">
        <f t="shared" si="2"/>
        <v>551</v>
      </c>
      <c r="H47" s="1"/>
      <c r="I47" s="1"/>
      <c r="J47" s="1"/>
      <c r="K47" s="1"/>
      <c r="L47" s="1"/>
      <c r="M47" s="1"/>
    </row>
    <row r="48" ht="14.2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mergeCells count="5">
    <mergeCell ref="B2:L2"/>
    <mergeCell ref="D5:G5"/>
    <mergeCell ref="I5:L5"/>
    <mergeCell ref="I12:J12"/>
    <mergeCell ref="I22:J2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